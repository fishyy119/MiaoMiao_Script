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y19\_\MiaoMiao_Script\xls\"/>
    </mc:Choice>
  </mc:AlternateContent>
  <xr:revisionPtr revIDLastSave="0" documentId="13_ncr:1_{97A93AB8-4390-4375-95A7-9CBD764AB542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中间辅助表" sheetId="2" r:id="rId1"/>
    <sheet name="课程列表" sheetId="4" r:id="rId2"/>
    <sheet name="统计结果" sheetId="5" r:id="rId3"/>
    <sheet name="周课表查询" sheetId="6" r:id="rId4"/>
    <sheet name="备注" sheetId="7" r:id="rId5"/>
  </sheets>
  <functionGroups builtInGroupCount="19"/>
  <definedNames>
    <definedName name="CodeCol" comment="课程代码列">INDEX(课程列表!$B:$B,2):INDEX(课程列表!$B:$B,1+CourseCount)</definedName>
    <definedName name="CourseCount" comment="课程列表有效条目数">COUNTA(课程列表!$B:$B)-1</definedName>
    <definedName name="EndCol" comment="结束节次列">INDEX(课程列表!$I:$I,2):INDEX(课程列表!$I:$I,1+CourseCount)</definedName>
    <definedName name="NameCol" comment="课程名称列">INDEX(课程列表!$A:$A,2):INDEX(课程列表!$A:$A,1+CourseCount)</definedName>
    <definedName name="RoomCol" comment="教室名称列">INDEX(课程列表!$K:$K,2):INDEX(课程列表!$K:$K,1+CourseCount)</definedName>
    <definedName name="StartCol" comment="开始节次列">INDEX(课程列表!$H:$H,2):INDEX(课程列表!$H:$H,1+CourseCount)</definedName>
    <definedName name="WeekCol" comment="上课教学周列">INDEX(课程列表!$F:$F,2):INDEX(课程列表!$F:$F,1+CourseCount)</definedName>
    <definedName name="WeekdayCol" comment="上课星期列">INDEX(课程列表!$G:$G,2):INDEX(课程列表!$G:$G,1+CourseCount)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6" l="1"/>
  <c r="I2" i="6"/>
  <c r="C26" i="5"/>
  <c r="B9" i="5"/>
  <c r="H25" i="5"/>
  <c r="H29" i="5"/>
  <c r="B27" i="5"/>
  <c r="G20" i="5"/>
  <c r="E10" i="5"/>
  <c r="D5" i="5"/>
  <c r="C6" i="5"/>
  <c r="B26" i="5"/>
  <c r="H9" i="5"/>
  <c r="H10" i="5"/>
  <c r="F9" i="5"/>
  <c r="E9" i="5"/>
  <c r="G21" i="5"/>
  <c r="B3" i="5"/>
  <c r="F5" i="5"/>
  <c r="G31" i="5"/>
  <c r="D3" i="5"/>
  <c r="B28" i="5"/>
  <c r="B25" i="5"/>
  <c r="D22" i="5"/>
  <c r="H11" i="5"/>
  <c r="C5" i="5"/>
  <c r="B32" i="5"/>
  <c r="H4" i="5"/>
  <c r="C31" i="5"/>
  <c r="C11" i="5"/>
  <c r="G26" i="5"/>
  <c r="F7" i="5"/>
  <c r="B4" i="5"/>
  <c r="E22" i="5"/>
  <c r="F31" i="5"/>
  <c r="C12" i="5"/>
  <c r="E26" i="5"/>
  <c r="E33" i="5"/>
  <c r="B11" i="5"/>
  <c r="C17" i="5"/>
  <c r="B7" i="5"/>
  <c r="F11" i="5"/>
  <c r="B18" i="5"/>
  <c r="F12" i="5"/>
  <c r="E29" i="5"/>
  <c r="E17" i="5"/>
  <c r="H7" i="5"/>
  <c r="D12" i="5"/>
  <c r="F13" i="5"/>
  <c r="C7" i="5"/>
  <c r="F21" i="5"/>
  <c r="D25" i="5"/>
  <c r="E31" i="5"/>
  <c r="E32" i="5"/>
  <c r="F26" i="5"/>
  <c r="G32" i="5"/>
  <c r="E25" i="5"/>
  <c r="E20" i="5"/>
  <c r="F17" i="5"/>
  <c r="D10" i="5"/>
  <c r="D23" i="5"/>
  <c r="C27" i="5"/>
  <c r="B31" i="5"/>
  <c r="F23" i="5"/>
  <c r="H20" i="5"/>
  <c r="G7" i="5"/>
  <c r="C21" i="5"/>
  <c r="C18" i="5"/>
  <c r="F2" i="5"/>
  <c r="B14" i="5"/>
  <c r="B23" i="5"/>
  <c r="D11" i="5"/>
  <c r="F25" i="5"/>
  <c r="B5" i="5"/>
  <c r="D31" i="5"/>
  <c r="H17" i="5"/>
  <c r="E23" i="5"/>
  <c r="E29" i="2"/>
  <c r="G34" i="5"/>
  <c r="E24" i="5"/>
  <c r="E28" i="5"/>
  <c r="F19" i="5"/>
  <c r="G33" i="5"/>
  <c r="D17" i="5"/>
  <c r="E7" i="5"/>
  <c r="E4" i="5"/>
  <c r="E8" i="5"/>
  <c r="C8" i="5"/>
  <c r="B8" i="5"/>
  <c r="H34" i="5"/>
  <c r="E12" i="5"/>
  <c r="D33" i="5"/>
  <c r="H24" i="5"/>
  <c r="G29" i="5"/>
  <c r="G9" i="5"/>
  <c r="H8" i="5"/>
  <c r="G4" i="5"/>
  <c r="D21" i="5"/>
  <c r="C2" i="5"/>
  <c r="G13" i="5"/>
  <c r="H27" i="5"/>
  <c r="E13" i="5"/>
  <c r="B33" i="5"/>
  <c r="H22" i="5"/>
  <c r="B6" i="5"/>
  <c r="C13" i="5"/>
  <c r="H19" i="5"/>
  <c r="F28" i="5"/>
  <c r="E34" i="5"/>
  <c r="D7" i="5"/>
  <c r="E27" i="5"/>
  <c r="B24" i="5"/>
  <c r="F32" i="5"/>
  <c r="C4" i="5"/>
  <c r="B19" i="5"/>
  <c r="F8" i="5"/>
  <c r="C20" i="5"/>
  <c r="H28" i="5"/>
  <c r="F14" i="5"/>
  <c r="H5" i="5"/>
  <c r="D26" i="5"/>
  <c r="G3" i="5"/>
  <c r="F10" i="5"/>
  <c r="F20" i="5"/>
  <c r="B34" i="5"/>
  <c r="B10" i="5"/>
  <c r="E30" i="5"/>
  <c r="C24" i="5"/>
  <c r="D27" i="5"/>
  <c r="C3" i="5"/>
  <c r="F27" i="5"/>
  <c r="H12" i="5"/>
  <c r="G18" i="5"/>
  <c r="B22" i="5"/>
  <c r="H33" i="5"/>
  <c r="C30" i="5"/>
  <c r="H26" i="5"/>
  <c r="D20" i="5"/>
  <c r="G10" i="5"/>
  <c r="E3" i="5"/>
  <c r="E3" i="2" s="1"/>
  <c r="H3" i="5"/>
  <c r="B30" i="5"/>
  <c r="F22" i="5"/>
  <c r="G8" i="5"/>
  <c r="F29" i="5"/>
  <c r="C32" i="5"/>
  <c r="D34" i="5"/>
  <c r="C9" i="5"/>
  <c r="C34" i="5"/>
  <c r="D19" i="5"/>
  <c r="H23" i="5"/>
  <c r="D32" i="5"/>
  <c r="D24" i="5"/>
  <c r="D29" i="5"/>
  <c r="G11" i="5"/>
  <c r="B21" i="5"/>
  <c r="C33" i="5"/>
  <c r="C22" i="5"/>
  <c r="D30" i="5"/>
  <c r="H2" i="5"/>
  <c r="C19" i="5"/>
  <c r="G22" i="5"/>
  <c r="B29" i="5"/>
  <c r="F18" i="5"/>
  <c r="G12" i="5"/>
  <c r="E21" i="5"/>
  <c r="E18" i="5"/>
  <c r="B17" i="5"/>
  <c r="D28" i="5"/>
  <c r="D14" i="5"/>
  <c r="H32" i="5"/>
  <c r="E11" i="5"/>
  <c r="G19" i="5"/>
  <c r="G30" i="5"/>
  <c r="B2" i="5"/>
  <c r="G23" i="5"/>
  <c r="F3" i="5"/>
  <c r="B20" i="5"/>
  <c r="F34" i="5"/>
  <c r="H30" i="5"/>
  <c r="G25" i="5"/>
  <c r="E2" i="5"/>
  <c r="G27" i="5"/>
  <c r="B12" i="5"/>
  <c r="C23" i="5"/>
  <c r="F30" i="5"/>
  <c r="D2" i="5"/>
  <c r="B13" i="5"/>
  <c r="H31" i="5"/>
  <c r="E6" i="5"/>
  <c r="H14" i="5"/>
  <c r="C10" i="5"/>
  <c r="D4" i="5"/>
  <c r="D13" i="5"/>
  <c r="E5" i="5"/>
  <c r="H13" i="5"/>
  <c r="G17" i="5"/>
  <c r="G2" i="5"/>
  <c r="E19" i="5"/>
  <c r="H6" i="5"/>
  <c r="H21" i="5"/>
  <c r="F24" i="5"/>
  <c r="G24" i="5"/>
  <c r="G14" i="5"/>
  <c r="D18" i="5"/>
  <c r="F33" i="5"/>
  <c r="G6" i="5"/>
  <c r="G28" i="5"/>
  <c r="G5" i="5"/>
  <c r="C29" i="5"/>
  <c r="C25" i="5"/>
  <c r="D9" i="5"/>
  <c r="D6" i="5"/>
  <c r="H18" i="5"/>
  <c r="E14" i="5"/>
  <c r="F4" i="5"/>
  <c r="C14" i="5"/>
  <c r="F6" i="5"/>
  <c r="D8" i="5"/>
  <c r="C31" i="2"/>
  <c r="C28" i="5"/>
  <c r="M3" i="5" l="1"/>
  <c r="M29" i="5"/>
  <c r="K31" i="5"/>
  <c r="D23" i="2"/>
  <c r="F29" i="2"/>
  <c r="C32" i="2"/>
  <c r="F22" i="2"/>
  <c r="B5" i="2"/>
  <c r="C3" i="2"/>
  <c r="D34" i="2"/>
  <c r="E30" i="2"/>
  <c r="D32" i="2"/>
  <c r="H23" i="2"/>
  <c r="C30" i="2"/>
  <c r="H34" i="2"/>
  <c r="D21" i="2"/>
  <c r="D20" i="2"/>
  <c r="C14" i="2"/>
  <c r="E27" i="2"/>
  <c r="G19" i="2"/>
  <c r="G5" i="2"/>
  <c r="C10" i="2"/>
  <c r="G33" i="2"/>
  <c r="H32" i="2"/>
  <c r="E26" i="2"/>
  <c r="C33" i="2"/>
  <c r="D9" i="2"/>
  <c r="E7" i="2"/>
  <c r="F14" i="2"/>
  <c r="G34" i="2"/>
  <c r="D8" i="2"/>
  <c r="D25" i="2"/>
  <c r="B7" i="2"/>
  <c r="G7" i="2"/>
  <c r="E6" i="2"/>
  <c r="D3" i="2"/>
  <c r="E10" i="2"/>
  <c r="E32" i="2"/>
  <c r="B27" i="2"/>
  <c r="E4" i="2"/>
  <c r="F9" i="2"/>
  <c r="H27" i="2"/>
  <c r="D19" i="2"/>
  <c r="C29" i="2"/>
  <c r="H14" i="2"/>
  <c r="H3" i="2"/>
  <c r="F19" i="2"/>
  <c r="F33" i="2"/>
  <c r="G20" i="2"/>
  <c r="B8" i="2"/>
  <c r="B10" i="2"/>
  <c r="F3" i="2"/>
  <c r="B9" i="2"/>
  <c r="B34" i="2"/>
  <c r="G27" i="2"/>
  <c r="F6" i="2"/>
  <c r="E17" i="2"/>
  <c r="H33" i="2"/>
  <c r="G13" i="2"/>
  <c r="B32" i="2"/>
  <c r="B17" i="2"/>
  <c r="F10" i="2"/>
  <c r="C28" i="2"/>
  <c r="B28" i="2"/>
  <c r="H30" i="2"/>
  <c r="D28" i="2"/>
  <c r="D24" i="2"/>
  <c r="B20" i="2"/>
  <c r="H13" i="2"/>
  <c r="C5" i="2"/>
  <c r="H29" i="2"/>
  <c r="G8" i="2"/>
  <c r="B25" i="2"/>
  <c r="H18" i="2"/>
  <c r="B30" i="2"/>
  <c r="C23" i="2"/>
  <c r="D7" i="2"/>
  <c r="H10" i="2"/>
  <c r="G18" i="2"/>
  <c r="D13" i="2"/>
  <c r="D29" i="2"/>
  <c r="B26" i="2"/>
  <c r="H26" i="2"/>
  <c r="G30" i="2"/>
  <c r="E20" i="2"/>
  <c r="F27" i="2"/>
  <c r="D26" i="2"/>
  <c r="B2" i="2"/>
  <c r="B21" i="2"/>
  <c r="D22" i="2"/>
  <c r="F25" i="2"/>
  <c r="H7" i="2"/>
  <c r="E2" i="2"/>
  <c r="C27" i="2"/>
  <c r="B29" i="2"/>
  <c r="H28" i="2"/>
  <c r="B3" i="2"/>
  <c r="B11" i="2"/>
  <c r="B4" i="2"/>
  <c r="C17" i="2"/>
  <c r="E19" i="2"/>
  <c r="G21" i="2"/>
  <c r="F26" i="2"/>
  <c r="E31" i="2"/>
  <c r="C21" i="2"/>
  <c r="F12" i="2"/>
  <c r="G17" i="2"/>
  <c r="H25" i="2"/>
  <c r="D4" i="2"/>
  <c r="H8" i="2"/>
  <c r="B14" i="2"/>
  <c r="H24" i="2"/>
  <c r="C18" i="2"/>
  <c r="F24" i="2"/>
  <c r="B18" i="2"/>
  <c r="E28" i="2"/>
  <c r="F13" i="2"/>
  <c r="B12" i="2"/>
  <c r="D14" i="2"/>
  <c r="E18" i="2"/>
  <c r="F18" i="2"/>
  <c r="G11" i="2"/>
  <c r="F20" i="2"/>
  <c r="D2" i="2"/>
  <c r="C25" i="2"/>
  <c r="G28" i="2"/>
  <c r="D31" i="2"/>
  <c r="G10" i="2"/>
  <c r="G22" i="2"/>
  <c r="C4" i="2"/>
  <c r="G4" i="2"/>
  <c r="H11" i="2"/>
  <c r="G23" i="2"/>
  <c r="C7" i="2"/>
  <c r="G6" i="2"/>
  <c r="F23" i="2"/>
  <c r="D18" i="2"/>
  <c r="B23" i="2"/>
  <c r="B6" i="2"/>
  <c r="F32" i="2"/>
  <c r="D30" i="2"/>
  <c r="D33" i="2"/>
  <c r="F34" i="2"/>
  <c r="E25" i="2"/>
  <c r="G14" i="2"/>
  <c r="G3" i="2"/>
  <c r="C24" i="2"/>
  <c r="G9" i="2"/>
  <c r="E12" i="2"/>
  <c r="E13" i="2"/>
  <c r="D6" i="2"/>
  <c r="D17" i="2"/>
  <c r="G26" i="2"/>
  <c r="C22" i="2"/>
  <c r="G32" i="2"/>
  <c r="H17" i="2"/>
  <c r="C20" i="2"/>
  <c r="H2" i="2"/>
  <c r="H5" i="2"/>
  <c r="F31" i="2"/>
  <c r="C6" i="2"/>
  <c r="D5" i="2"/>
  <c r="D10" i="2"/>
  <c r="E9" i="2"/>
  <c r="D27" i="2"/>
  <c r="C19" i="2"/>
  <c r="C13" i="2"/>
  <c r="C12" i="2"/>
  <c r="F21" i="2"/>
  <c r="E22" i="2"/>
  <c r="F28" i="2"/>
  <c r="C9" i="2"/>
  <c r="C26" i="2"/>
  <c r="H21" i="2"/>
  <c r="H9" i="2"/>
  <c r="B13" i="2"/>
  <c r="C2" i="2"/>
  <c r="G29" i="2"/>
  <c r="F17" i="2"/>
  <c r="B24" i="2"/>
  <c r="F30" i="2"/>
  <c r="G24" i="2"/>
  <c r="E5" i="2"/>
  <c r="F11" i="2"/>
  <c r="E8" i="2"/>
  <c r="E24" i="2"/>
  <c r="E14" i="2"/>
  <c r="H6" i="2"/>
  <c r="C34" i="2"/>
  <c r="F2" i="2"/>
  <c r="B33" i="2"/>
  <c r="F5" i="2"/>
  <c r="H22" i="2"/>
  <c r="F7" i="2"/>
  <c r="C8" i="2"/>
  <c r="F8" i="2"/>
  <c r="H31" i="2"/>
  <c r="E21" i="2"/>
  <c r="E23" i="2"/>
  <c r="B19" i="2"/>
  <c r="E34" i="2"/>
  <c r="G12" i="2"/>
  <c r="G2" i="2"/>
  <c r="H19" i="2"/>
  <c r="H4" i="2"/>
  <c r="G25" i="2"/>
  <c r="B22" i="2"/>
  <c r="B31" i="2"/>
  <c r="H12" i="2"/>
  <c r="D11" i="2"/>
  <c r="C11" i="2"/>
  <c r="F4" i="2"/>
  <c r="D12" i="2"/>
  <c r="E11" i="2"/>
  <c r="H20" i="2"/>
  <c r="G31" i="2"/>
  <c r="E33" i="2"/>
  <c r="J7" i="5" l="1"/>
  <c r="L23" i="5"/>
  <c r="J8" i="5"/>
  <c r="L33" i="5"/>
  <c r="K8" i="5"/>
  <c r="M20" i="5"/>
  <c r="L25" i="5"/>
  <c r="L29" i="5"/>
  <c r="K12" i="5"/>
  <c r="L8" i="5"/>
  <c r="K28" i="5"/>
  <c r="J19" i="5"/>
  <c r="M19" i="5"/>
  <c r="J30" i="5"/>
  <c r="J20" i="5"/>
  <c r="M33" i="5"/>
  <c r="K2" i="5"/>
  <c r="M34" i="5"/>
  <c r="K14" i="5"/>
  <c r="N2" i="5"/>
  <c r="K33" i="5"/>
  <c r="L4" i="5"/>
  <c r="L10" i="5"/>
  <c r="P29" i="5"/>
  <c r="M14" i="5"/>
  <c r="N31" i="5"/>
  <c r="O21" i="5"/>
  <c r="N19" i="5"/>
  <c r="N20" i="5"/>
  <c r="O5" i="5"/>
  <c r="O7" i="5"/>
  <c r="M18" i="5"/>
  <c r="J13" i="5"/>
  <c r="O18" i="5"/>
  <c r="N6" i="5"/>
  <c r="O26" i="5"/>
  <c r="O34" i="5"/>
  <c r="P31" i="5"/>
  <c r="N33" i="5"/>
  <c r="O6" i="5"/>
  <c r="O9" i="5"/>
  <c r="J29" i="5"/>
  <c r="N34" i="5"/>
  <c r="P34" i="5"/>
  <c r="M6" i="5"/>
  <c r="O27" i="5"/>
  <c r="P33" i="5"/>
  <c r="O29" i="5"/>
  <c r="N21" i="5"/>
  <c r="N8" i="5"/>
  <c r="J21" i="5"/>
  <c r="O10" i="5"/>
  <c r="K32" i="5"/>
  <c r="P30" i="5"/>
  <c r="O20" i="5"/>
  <c r="O22" i="5"/>
  <c r="P19" i="5"/>
  <c r="P27" i="5"/>
  <c r="P6" i="5"/>
  <c r="N27" i="5"/>
  <c r="N4" i="5"/>
  <c r="P10" i="5"/>
  <c r="L2" i="5"/>
  <c r="N26" i="5"/>
  <c r="N30" i="5"/>
  <c r="O31" i="5"/>
  <c r="P32" i="5"/>
  <c r="N23" i="5"/>
  <c r="N29" i="5"/>
  <c r="P21" i="5"/>
  <c r="O14" i="5"/>
  <c r="M5" i="5"/>
  <c r="N13" i="5"/>
  <c r="P7" i="5"/>
  <c r="J34" i="5"/>
  <c r="P22" i="5"/>
  <c r="P26" i="5"/>
  <c r="P28" i="5"/>
  <c r="N3" i="5"/>
  <c r="O32" i="5"/>
  <c r="O11" i="5"/>
  <c r="P3" i="5"/>
  <c r="N32" i="5"/>
  <c r="M12" i="5"/>
  <c r="N12" i="5"/>
  <c r="N14" i="5"/>
  <c r="J6" i="5"/>
  <c r="K5" i="5"/>
  <c r="O19" i="5"/>
  <c r="O23" i="5"/>
  <c r="P17" i="5"/>
  <c r="P8" i="5"/>
  <c r="N25" i="5"/>
  <c r="P4" i="5"/>
  <c r="N9" i="5"/>
  <c r="O28" i="5"/>
  <c r="L22" i="5"/>
  <c r="M8" i="5"/>
  <c r="N18" i="5"/>
  <c r="K4" i="5"/>
  <c r="P20" i="5"/>
  <c r="P24" i="5"/>
  <c r="O12" i="5"/>
  <c r="P9" i="5"/>
  <c r="N7" i="5"/>
  <c r="N11" i="5"/>
  <c r="N10" i="5"/>
  <c r="J26" i="5"/>
  <c r="M10" i="5"/>
  <c r="J28" i="5"/>
  <c r="O33" i="5"/>
  <c r="N22" i="5"/>
  <c r="O25" i="5"/>
  <c r="O17" i="5"/>
  <c r="P5" i="5"/>
  <c r="O2" i="5"/>
  <c r="P12" i="5"/>
  <c r="K23" i="5"/>
  <c r="J14" i="5"/>
  <c r="P23" i="5"/>
  <c r="N5" i="5"/>
  <c r="K34" i="5"/>
  <c r="N24" i="5"/>
  <c r="P18" i="5"/>
  <c r="O4" i="5"/>
  <c r="O8" i="5"/>
  <c r="P14" i="5"/>
  <c r="L12" i="5"/>
  <c r="P13" i="5"/>
  <c r="O30" i="5"/>
  <c r="J12" i="5"/>
  <c r="O3" i="5"/>
  <c r="K22" i="5"/>
  <c r="N28" i="5"/>
  <c r="P25" i="5"/>
  <c r="O13" i="5"/>
  <c r="P11" i="5"/>
  <c r="J18" i="5"/>
  <c r="J27" i="5"/>
  <c r="P2" i="5"/>
  <c r="O24" i="5"/>
  <c r="K24" i="5"/>
  <c r="L27" i="5"/>
  <c r="L24" i="5"/>
  <c r="M13" i="5"/>
  <c r="K26" i="5"/>
  <c r="K19" i="5"/>
  <c r="L18" i="5"/>
  <c r="J25" i="5"/>
  <c r="M31" i="5"/>
  <c r="J31" i="5"/>
  <c r="L9" i="5"/>
  <c r="L20" i="5"/>
  <c r="M9" i="5"/>
  <c r="K10" i="5"/>
  <c r="K11" i="5"/>
  <c r="L30" i="5"/>
  <c r="L13" i="5"/>
  <c r="L21" i="5"/>
  <c r="L19" i="5"/>
  <c r="J9" i="5"/>
  <c r="M25" i="5"/>
  <c r="J22" i="5"/>
  <c r="J10" i="5"/>
  <c r="J17" i="5"/>
  <c r="M30" i="5"/>
  <c r="L26" i="5"/>
  <c r="L5" i="5"/>
  <c r="K29" i="5"/>
  <c r="J23" i="5"/>
  <c r="M7" i="5"/>
  <c r="J5" i="5"/>
  <c r="L17" i="5"/>
  <c r="M21" i="5"/>
  <c r="M23" i="5"/>
  <c r="K18" i="5"/>
  <c r="K25" i="5"/>
  <c r="M22" i="5"/>
  <c r="J3" i="5"/>
  <c r="M32" i="5"/>
  <c r="L7" i="5"/>
  <c r="M26" i="5"/>
  <c r="K30" i="5"/>
  <c r="K9" i="5"/>
  <c r="L28" i="5"/>
  <c r="J2" i="5"/>
  <c r="S25" i="5"/>
  <c r="S21" i="5"/>
  <c r="S32" i="5"/>
  <c r="S28" i="5"/>
  <c r="S31" i="5"/>
  <c r="S30" i="5"/>
  <c r="S20" i="5"/>
  <c r="S23" i="5"/>
  <c r="S34" i="5"/>
  <c r="S19" i="5"/>
  <c r="S22" i="5"/>
  <c r="S26" i="5"/>
  <c r="S17" i="5"/>
  <c r="S24" i="5"/>
  <c r="S29" i="5"/>
  <c r="S27" i="5"/>
  <c r="S18" i="5"/>
  <c r="S33" i="5"/>
  <c r="M2" i="5"/>
  <c r="M11" i="5"/>
  <c r="J33" i="5"/>
  <c r="L14" i="5"/>
  <c r="K13" i="5"/>
  <c r="J24" i="5"/>
  <c r="L6" i="5"/>
  <c r="L11" i="5"/>
  <c r="L31" i="5"/>
  <c r="K27" i="5"/>
  <c r="L32" i="5"/>
  <c r="K17" i="5"/>
  <c r="M24" i="5"/>
  <c r="J11" i="5"/>
  <c r="M4" i="5"/>
  <c r="J32" i="5"/>
  <c r="M27" i="5"/>
  <c r="N17" i="5"/>
  <c r="K6" i="5"/>
  <c r="J4" i="5"/>
  <c r="K7" i="5"/>
  <c r="M17" i="5"/>
  <c r="K3" i="5"/>
  <c r="K21" i="5"/>
  <c r="M28" i="5"/>
  <c r="L34" i="5"/>
  <c r="L3" i="5"/>
  <c r="K20" i="5"/>
</calcChain>
</file>

<file path=xl/sharedStrings.xml><?xml version="1.0" encoding="utf-8"?>
<sst xmlns="http://schemas.openxmlformats.org/spreadsheetml/2006/main" count="201" uniqueCount="97">
  <si>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</si>
  <si>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</si>
  <si>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</si>
  <si>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</si>
  <si>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</si>
  <si>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学时</t>
    <phoneticPr fontId="1" type="noConversion"/>
  </si>
  <si>
    <t>教学周</t>
    <phoneticPr fontId="1" type="noConversion"/>
  </si>
  <si>
    <t>星期三</t>
  </si>
  <si>
    <t>第3节</t>
  </si>
  <si>
    <t>第5节</t>
  </si>
  <si>
    <t>中关村校区</t>
  </si>
  <si>
    <t>9-12周</t>
  </si>
  <si>
    <t>星期二</t>
  </si>
  <si>
    <t>第6节</t>
  </si>
  <si>
    <t>第13节</t>
  </si>
  <si>
    <t>7-9周</t>
  </si>
  <si>
    <t>星期一</t>
  </si>
  <si>
    <t>7-12周</t>
  </si>
  <si>
    <t>第8节</t>
  </si>
  <si>
    <t>第10节</t>
  </si>
  <si>
    <t>5-9周</t>
  </si>
  <si>
    <t>5-10周</t>
  </si>
  <si>
    <t>第9节</t>
  </si>
  <si>
    <t>1-2周,5-8周</t>
  </si>
  <si>
    <t>1-2周,5-10周</t>
  </si>
  <si>
    <t>1-2周,4-9周</t>
  </si>
  <si>
    <t>星期五</t>
  </si>
  <si>
    <t>1-3周</t>
  </si>
  <si>
    <t>1-11周</t>
  </si>
  <si>
    <t>1-17周</t>
  </si>
  <si>
    <t>第1节</t>
  </si>
  <si>
    <t>第2节</t>
  </si>
  <si>
    <t>课程名</t>
    <phoneticPr fontId="1" type="noConversion"/>
  </si>
  <si>
    <t>课程编号</t>
    <phoneticPr fontId="1" type="noConversion"/>
  </si>
  <si>
    <t>学分</t>
    <phoneticPr fontId="1" type="noConversion"/>
  </si>
  <si>
    <t>星期</t>
    <phoneticPr fontId="1" type="noConversion"/>
  </si>
  <si>
    <t>开始节次</t>
    <phoneticPr fontId="1" type="noConversion"/>
  </si>
  <si>
    <t>结束节次</t>
    <phoneticPr fontId="1" type="noConversion"/>
  </si>
  <si>
    <t>教师</t>
    <phoneticPr fontId="1" type="noConversion"/>
  </si>
  <si>
    <t>教室</t>
    <phoneticPr fontId="1" type="noConversion"/>
  </si>
  <si>
    <t>校区</t>
    <phoneticPr fontId="1" type="noConversion"/>
  </si>
  <si>
    <t>课序号</t>
    <phoneticPr fontId="1" type="noConversion"/>
  </si>
  <si>
    <t>开课单位</t>
    <phoneticPr fontId="1" type="noConversion"/>
  </si>
  <si>
    <t>课程性质</t>
    <phoneticPr fontId="1" type="noConversion"/>
  </si>
  <si>
    <t>课程类别</t>
    <phoneticPr fontId="1" type="noConversion"/>
  </si>
  <si>
    <t>校公选课</t>
    <phoneticPr fontId="1" type="noConversion"/>
  </si>
  <si>
    <t>(复制自jxzxehall.bit.edu.cn)</t>
    <phoneticPr fontId="1" type="noConversion"/>
  </si>
  <si>
    <t>星期四</t>
    <phoneticPr fontId="1" type="noConversion"/>
  </si>
  <si>
    <r>
      <t>1-2</t>
    </r>
    <r>
      <rPr>
        <sz val="7"/>
        <color rgb="FF333333"/>
        <rFont val="微软雅黑"/>
        <family val="2"/>
        <charset val="134"/>
      </rPr>
      <t>周</t>
    </r>
    <phoneticPr fontId="1" type="noConversion"/>
  </si>
  <si>
    <r>
      <t>5-15</t>
    </r>
    <r>
      <rPr>
        <sz val="7"/>
        <color rgb="FF333333"/>
        <rFont val="微软雅黑"/>
        <family val="2"/>
        <charset val="134"/>
      </rPr>
      <t>周</t>
    </r>
    <phoneticPr fontId="1" type="noConversion"/>
  </si>
  <si>
    <t>CourseCount=COUNTA(课程列表!$B:$B)-1</t>
    <phoneticPr fontId="1" type="noConversion"/>
  </si>
  <si>
    <t>勿动</t>
    <phoneticPr fontId="1" type="noConversion"/>
  </si>
  <si>
    <t>（依此类推）</t>
    <phoneticPr fontId="1" type="noConversion"/>
  </si>
  <si>
    <t>EndCol=INDEX(课程列表!$I:$I,2):INDEX(课程列表!$I:$I,1+CourseCount)</t>
    <phoneticPr fontId="1" type="noConversion"/>
  </si>
  <si>
    <t>节次</t>
    <phoneticPr fontId="1" type="noConversion"/>
  </si>
  <si>
    <t>六</t>
    <phoneticPr fontId="1" type="noConversion"/>
  </si>
  <si>
    <t>日</t>
    <phoneticPr fontId="1" type="noConversion"/>
  </si>
  <si>
    <t>第1周周一</t>
    <phoneticPr fontId="1" type="noConversion"/>
  </si>
  <si>
    <t>注意 公式-名称管理器 中引用是否丢失</t>
    <phoneticPr fontId="1" type="noConversion"/>
  </si>
  <si>
    <r>
      <rPr>
        <sz val="7"/>
        <color rgb="FF333333"/>
        <rFont val="微软雅黑"/>
        <family val="2"/>
        <charset val="134"/>
      </rPr>
      <t>星期</t>
    </r>
    <r>
      <rPr>
        <sz val="7"/>
        <color rgb="FF333333"/>
        <rFont val="宋体"/>
        <family val="2"/>
        <charset val="134"/>
      </rPr>
      <t>四</t>
    </r>
    <phoneticPr fontId="1" type="noConversion"/>
  </si>
  <si>
    <r>
      <rPr>
        <sz val="7"/>
        <color rgb="FF333333"/>
        <rFont val="宋体"/>
        <family val="2"/>
        <charset val="134"/>
      </rPr>
      <t>水课</t>
    </r>
    <r>
      <rPr>
        <sz val="7"/>
        <color rgb="FF333333"/>
        <rFont val="Open Sans"/>
        <family val="2"/>
      </rPr>
      <t>1</t>
    </r>
    <phoneticPr fontId="1" type="noConversion"/>
  </si>
  <si>
    <r>
      <rPr>
        <sz val="7"/>
        <color rgb="FF333333"/>
        <rFont val="宋体"/>
        <family val="2"/>
        <charset val="134"/>
      </rPr>
      <t>水课</t>
    </r>
    <r>
      <rPr>
        <sz val="7"/>
        <color rgb="FF333333"/>
        <rFont val="Open Sans"/>
        <family val="2"/>
      </rPr>
      <t>2</t>
    </r>
    <r>
      <rPr>
        <sz val="11"/>
        <color theme="1"/>
        <rFont val="等线"/>
        <family val="2"/>
        <scheme val="minor"/>
      </rPr>
      <t/>
    </r>
  </si>
  <si>
    <r>
      <rPr>
        <sz val="7"/>
        <color rgb="FF333333"/>
        <rFont val="宋体"/>
        <family val="2"/>
        <charset val="134"/>
      </rPr>
      <t>水课</t>
    </r>
    <r>
      <rPr>
        <sz val="7"/>
        <color rgb="FF333333"/>
        <rFont val="Open Sans"/>
        <family val="2"/>
      </rPr>
      <t>3</t>
    </r>
    <r>
      <rPr>
        <sz val="11"/>
        <color theme="1"/>
        <rFont val="等线"/>
        <family val="2"/>
        <scheme val="minor"/>
      </rPr>
      <t/>
    </r>
  </si>
  <si>
    <r>
      <rPr>
        <sz val="7"/>
        <color rgb="FF333333"/>
        <rFont val="宋体"/>
        <family val="2"/>
        <charset val="134"/>
      </rPr>
      <t>水课</t>
    </r>
    <r>
      <rPr>
        <sz val="7"/>
        <color rgb="FF333333"/>
        <rFont val="Open Sans"/>
        <family val="2"/>
      </rPr>
      <t>5</t>
    </r>
    <r>
      <rPr>
        <sz val="11"/>
        <color theme="1"/>
        <rFont val="等线"/>
        <family val="2"/>
        <scheme val="minor"/>
      </rPr>
      <t/>
    </r>
  </si>
  <si>
    <r>
      <rPr>
        <sz val="7"/>
        <color rgb="FF333333"/>
        <rFont val="宋体"/>
        <family val="2"/>
        <charset val="134"/>
      </rPr>
      <t>水课</t>
    </r>
    <r>
      <rPr>
        <sz val="7"/>
        <color rgb="FF333333"/>
        <rFont val="Open Sans"/>
        <family val="2"/>
      </rPr>
      <t>4</t>
    </r>
    <phoneticPr fontId="1" type="noConversion"/>
  </si>
  <si>
    <r>
      <rPr>
        <sz val="7"/>
        <color rgb="FF333333"/>
        <rFont val="宋体"/>
        <family val="2"/>
        <charset val="134"/>
      </rPr>
      <t>水课</t>
    </r>
    <r>
      <rPr>
        <sz val="7"/>
        <color rgb="FF333333"/>
        <rFont val="Open Sans"/>
        <family val="2"/>
      </rPr>
      <t>6</t>
    </r>
    <phoneticPr fontId="1" type="noConversion"/>
  </si>
  <si>
    <r>
      <rPr>
        <sz val="7"/>
        <color rgb="FF333333"/>
        <rFont val="宋体"/>
        <family val="2"/>
        <charset val="134"/>
      </rPr>
      <t>水课</t>
    </r>
    <r>
      <rPr>
        <sz val="7"/>
        <color rgb="FF333333"/>
        <rFont val="Open Sans"/>
        <family val="2"/>
      </rPr>
      <t>7</t>
    </r>
    <phoneticPr fontId="1" type="noConversion"/>
  </si>
  <si>
    <r>
      <rPr>
        <sz val="7"/>
        <color rgb="FF333333"/>
        <rFont val="宋体"/>
        <family val="2"/>
        <charset val="134"/>
      </rPr>
      <t>水课</t>
    </r>
    <r>
      <rPr>
        <sz val="7"/>
        <color rgb="FF333333"/>
        <rFont val="Open Sans"/>
        <family val="2"/>
      </rPr>
      <t>8</t>
    </r>
    <phoneticPr fontId="1" type="noConversion"/>
  </si>
  <si>
    <r>
      <rPr>
        <sz val="7"/>
        <color rgb="FF333333"/>
        <rFont val="宋体"/>
        <family val="2"/>
        <charset val="134"/>
      </rPr>
      <t>水课</t>
    </r>
    <r>
      <rPr>
        <sz val="7"/>
        <color rgb="FF333333"/>
        <rFont val="Open Sans"/>
        <family val="2"/>
      </rPr>
      <t>9</t>
    </r>
    <phoneticPr fontId="1" type="noConversion"/>
  </si>
  <si>
    <r>
      <rPr>
        <sz val="7"/>
        <color rgb="FF333333"/>
        <rFont val="宋体"/>
        <family val="2"/>
        <charset val="134"/>
      </rPr>
      <t>水课</t>
    </r>
    <r>
      <rPr>
        <sz val="7"/>
        <color rgb="FF333333"/>
        <rFont val="Open Sans"/>
        <family val="2"/>
      </rPr>
      <t>10</t>
    </r>
    <phoneticPr fontId="1" type="noConversion"/>
  </si>
  <si>
    <t>张军</t>
    <phoneticPr fontId="1" type="noConversion"/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</si>
  <si>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217</t>
    </r>
    <phoneticPr fontId="1" type="noConversion"/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</si>
  <si>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218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</si>
  <si>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219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</si>
  <si>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220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</si>
  <si>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221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</si>
  <si>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222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</si>
  <si>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223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</si>
  <si>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224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</si>
  <si>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225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</si>
  <si>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226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</si>
  <si>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227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</si>
  <si>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228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</si>
  <si>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229</t>
    </r>
    <r>
      <rPr>
        <sz val="11"/>
        <color theme="1"/>
        <rFont val="等线"/>
        <family val="2"/>
        <scheme val="minor"/>
      </rPr>
      <t/>
    </r>
  </si>
  <si>
    <r>
      <t>3</t>
    </r>
    <r>
      <rPr>
        <sz val="7"/>
        <color rgb="FF333333"/>
        <rFont val="宋体"/>
        <family val="2"/>
        <charset val="134"/>
      </rPr>
      <t>号楼</t>
    </r>
    <r>
      <rPr>
        <sz val="7"/>
        <color rgb="FF333333"/>
        <rFont val="Open Sans"/>
        <family val="2"/>
      </rPr>
      <t>230</t>
    </r>
    <r>
      <rPr>
        <sz val="11"/>
        <color theme="1"/>
        <rFont val="等线"/>
        <family val="2"/>
        <scheme val="minor"/>
      </rPr>
      <t/>
    </r>
  </si>
  <si>
    <t>水课6_x000D_
3号楼225</t>
  </si>
  <si>
    <t>水课4_x000D_
3号楼226</t>
  </si>
  <si>
    <t>水课4_x000D_
3号楼227</t>
  </si>
  <si>
    <t>水课8_x000D_
3号楼229</t>
  </si>
  <si>
    <t>水课9_x000D_
3号楼230</t>
  </si>
  <si>
    <t>水课1_x000D_
3号楼217</t>
  </si>
  <si>
    <t>水课5_x000D_
3号楼221</t>
  </si>
  <si>
    <t>水课5_x000D_
3号楼222</t>
  </si>
  <si>
    <t>水课5_x000D_
3号楼223</t>
  </si>
  <si>
    <r>
      <rPr>
        <sz val="7"/>
        <color rgb="FF333333"/>
        <rFont val="宋体"/>
        <family val="2"/>
        <charset val="134"/>
      </rPr>
      <t>西</t>
    </r>
    <r>
      <rPr>
        <sz val="7"/>
        <color rgb="FF333333"/>
        <rFont val="微软雅黑"/>
        <family val="2"/>
        <charset val="134"/>
      </rPr>
      <t>关村校区</t>
    </r>
    <phoneticPr fontId="1" type="noConversion"/>
  </si>
  <si>
    <r>
      <rPr>
        <sz val="7"/>
        <color rgb="FF333333"/>
        <rFont val="宋体"/>
        <family val="2"/>
        <charset val="134"/>
      </rPr>
      <t>东</t>
    </r>
    <r>
      <rPr>
        <sz val="7"/>
        <color rgb="FF333333"/>
        <rFont val="微软雅黑"/>
        <family val="2"/>
        <charset val="134"/>
      </rPr>
      <t>关村校区</t>
    </r>
    <phoneticPr fontId="1" type="noConversion"/>
  </si>
  <si>
    <r>
      <rPr>
        <sz val="7"/>
        <color rgb="FF333333"/>
        <rFont val="宋体"/>
        <family val="2"/>
        <charset val="134"/>
      </rPr>
      <t>北</t>
    </r>
    <r>
      <rPr>
        <sz val="7"/>
        <color rgb="FF333333"/>
        <rFont val="微软雅黑"/>
        <family val="2"/>
        <charset val="134"/>
      </rPr>
      <t>关村校区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</si>
</sst>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华康方圆体W7(P)"/>
      <family val="5"/>
      <charset val="134"/>
    </font>
    <font>
      <b/>
      <sz val="11"/>
      <color theme="1"/>
      <name val="华康方圆体W7"/>
      <family val="5"/>
      <charset val="134"/>
    </font>
    <font>
      <sz val="7"/>
      <color rgb="FF333333"/>
      <name val="Open Sans"/>
      <family val="2"/>
    </font>
    <font>
      <sz val="7"/>
      <color rgb="FF333333"/>
      <name val="微软雅黑"/>
      <family val="2"/>
      <charset val="134"/>
    </font>
    <font>
      <i/>
      <sz val="11"/>
      <color rgb="FF0070C0"/>
      <name val="华康方圆体W7(P)"/>
      <family val="5"/>
      <charset val="134"/>
    </font>
    <font>
      <sz val="11"/>
      <color theme="1"/>
      <name val="华康方圆体W7"/>
      <family val="5"/>
      <charset val="134"/>
    </font>
    <font>
      <sz val="11"/>
      <color rgb="FF000000"/>
      <name val="等线"/>
      <family val="3"/>
      <charset val="134"/>
    </font>
    <font>
      <sz val="7"/>
      <color rgb="FF333333"/>
      <name val="宋体"/>
      <family val="2"/>
      <charset val="134"/>
    </font>
    <font>
      <sz val="7"/>
      <color rgb="FF333333"/>
      <name val="Open Sans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4" borderId="6" xfId="0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0" fillId="14" borderId="10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14" fontId="0" fillId="12" borderId="9" xfId="0" applyNumberFormat="1" applyFill="1" applyBorder="1" applyAlignment="1">
      <alignment horizontal="center" vertical="center"/>
    </xf>
    <xf numFmtId="14" fontId="0" fillId="12" borderId="8" xfId="0" applyNumberFormat="1" applyFill="1" applyBorder="1" applyAlignment="1">
      <alignment horizontal="center" vertical="center"/>
    </xf>
    <xf numFmtId="0" fontId="10" fillId="0" borderId="1" xfId="0" applyFont="1" applyBorder="1" applyAlignment="1">
      <alignment horizontal="right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2</xdr:row>
          <xdr:rowOff>53340</xdr:rowOff>
        </xdr:from>
        <xdr:to>
          <xdr:col>9</xdr:col>
          <xdr:colOff>487680</xdr:colOff>
          <xdr:row>3</xdr:row>
          <xdr:rowOff>114300</xdr:rowOff>
        </xdr:to>
        <xdr:sp macro="" textlink="">
          <xdr:nvSpPr>
            <xdr:cNvPr id="4097" name="Button 1" descr="查询周课表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查询周课表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1AF24-07BB-4E3E-8D3A-7A915E4A7D57}">
  <sheetPr codeName="Sheet2"/>
  <dimension ref="A1:H34"/>
  <sheetViews>
    <sheetView tabSelected="1" workbookViewId="0">
      <selection activeCell="H25" sqref="H25"/>
    </sheetView>
  </sheetViews>
  <sheetFormatPr defaultRowHeight="13.8" x14ac:dyDescent="0.25"/>
  <cols>
    <col min="1" max="1" width="8.88671875" style="1" customWidth="1"/>
    <col min="2" max="16384" width="8.88671875" style="1"/>
  </cols>
  <sheetData>
    <row r="1" spans="1:8" s="3" customFormat="1" ht="13.2" x14ac:dyDescent="0.25">
      <c r="A1" s="16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0" t="s">
        <v>55</v>
      </c>
      <c r="H1" s="20" t="s">
        <v>56</v>
      </c>
    </row>
    <row r="2" spans="1:8" x14ac:dyDescent="0.25">
      <c r="A2" s="16">
        <v>1</v>
      </c>
      <c r="B2" s="15" t="str">
        <f>ExpandWeeks(统计结果!B2)</f>
        <v/>
      </c>
      <c r="C2" s="15" t="str">
        <f>ExpandWeeks(统计结果!C2)</f>
        <v>1,2,3,4,5,6,7,8,9,10,11,12,13,14,15,16,17</v>
      </c>
      <c r="D2" s="15" t="str">
        <f>ExpandWeeks(统计结果!D2)</f>
        <v/>
      </c>
      <c r="E2" s="15" t="str">
        <f>ExpandWeeks(统计结果!E2)</f>
        <v/>
      </c>
      <c r="F2" s="15" t="str">
        <f>ExpandWeeks(统计结果!F2)</f>
        <v/>
      </c>
      <c r="G2" s="15" t="str">
        <f>ExpandWeeks(统计结果!G2)</f>
        <v/>
      </c>
      <c r="H2" s="15" t="str">
        <f>ExpandWeeks(统计结果!H2)</f>
        <v/>
      </c>
    </row>
    <row r="3" spans="1:8" x14ac:dyDescent="0.25">
      <c r="A3" s="16">
        <v>2</v>
      </c>
      <c r="B3" s="15" t="str">
        <f>ExpandWeeks(统计结果!B3)</f>
        <v/>
      </c>
      <c r="C3" s="15" t="str">
        <f>ExpandWeeks(统计结果!C3)</f>
        <v>1,2,3,4,5,6,7,8,9,10,11,12,13,14,15,16,17</v>
      </c>
      <c r="D3" s="15" t="str">
        <f>ExpandWeeks(统计结果!D3)</f>
        <v/>
      </c>
      <c r="E3" s="15" t="str">
        <f>ExpandWeeks(统计结果!E3)</f>
        <v/>
      </c>
      <c r="F3" s="15" t="str">
        <f>ExpandWeeks(统计结果!F3)</f>
        <v/>
      </c>
      <c r="G3" s="15" t="str">
        <f>ExpandWeeks(统计结果!G3)</f>
        <v/>
      </c>
      <c r="H3" s="15" t="str">
        <f>ExpandWeeks(统计结果!H3)</f>
        <v/>
      </c>
    </row>
    <row r="4" spans="1:8" x14ac:dyDescent="0.25">
      <c r="A4" s="16">
        <v>3</v>
      </c>
      <c r="B4" s="15" t="str">
        <f>ExpandWeeks(统计结果!B4)</f>
        <v>1,2,3,7,8,9</v>
      </c>
      <c r="C4" s="15" t="str">
        <f>ExpandWeeks(统计结果!C4)</f>
        <v>5,6,7,8,9</v>
      </c>
      <c r="D4" s="15" t="str">
        <f>ExpandWeeks(统计结果!D4)</f>
        <v>1,2,5,6,7,8,9,10,11,12,13,14,15</v>
      </c>
      <c r="E4" s="15" t="str">
        <f>ExpandWeeks(统计结果!E4)</f>
        <v>1,2,3,4,5,6,7,8,9,10,11</v>
      </c>
      <c r="F4" s="15" t="str">
        <f>ExpandWeeks(统计结果!F4)</f>
        <v/>
      </c>
      <c r="G4" s="15" t="str">
        <f>ExpandWeeks(统计结果!G4)</f>
        <v/>
      </c>
      <c r="H4" s="15" t="str">
        <f>ExpandWeeks(统计结果!H4)</f>
        <v/>
      </c>
    </row>
    <row r="5" spans="1:8" x14ac:dyDescent="0.25">
      <c r="A5" s="16">
        <v>4</v>
      </c>
      <c r="B5" s="15" t="str">
        <f>ExpandWeeks(统计结果!B5)</f>
        <v>1,2,3,7,8,9</v>
      </c>
      <c r="C5" s="15" t="str">
        <f>ExpandWeeks(统计结果!C5)</f>
        <v>5,6,7,8,9</v>
      </c>
      <c r="D5" s="15" t="str">
        <f>ExpandWeeks(统计结果!D5)</f>
        <v>1,2,5,6,7,8,9,10,11,12,13,14,15</v>
      </c>
      <c r="E5" s="15" t="str">
        <f>ExpandWeeks(统计结果!E5)</f>
        <v>1,2,3,4,5,6,7,8,9,10,11</v>
      </c>
      <c r="F5" s="15" t="str">
        <f>ExpandWeeks(统计结果!F5)</f>
        <v/>
      </c>
      <c r="G5" s="15" t="str">
        <f>ExpandWeeks(统计结果!G5)</f>
        <v/>
      </c>
      <c r="H5" s="15" t="str">
        <f>ExpandWeeks(统计结果!H5)</f>
        <v/>
      </c>
    </row>
    <row r="6" spans="1:8" x14ac:dyDescent="0.25">
      <c r="A6" s="16">
        <v>5</v>
      </c>
      <c r="B6" s="15" t="str">
        <f>ExpandWeeks(统计结果!B6)</f>
        <v>1,2,3,7,8,9</v>
      </c>
      <c r="C6" s="15" t="str">
        <f>ExpandWeeks(统计结果!C6)</f>
        <v>5,6,7,8,9</v>
      </c>
      <c r="D6" s="15" t="str">
        <f>ExpandWeeks(统计结果!D6)</f>
        <v>1,2,5,6,7,8,9,10,11,12,13,14,15</v>
      </c>
      <c r="E6" s="15" t="str">
        <f>ExpandWeeks(统计结果!E6)</f>
        <v>1,2,3,4,5,6,7,8,9,10,11</v>
      </c>
      <c r="F6" s="15" t="str">
        <f>ExpandWeeks(统计结果!F6)</f>
        <v/>
      </c>
      <c r="G6" s="15" t="str">
        <f>ExpandWeeks(统计结果!G6)</f>
        <v/>
      </c>
      <c r="H6" s="15" t="str">
        <f>ExpandWeeks(统计结果!H6)</f>
        <v/>
      </c>
    </row>
    <row r="7" spans="1:8" x14ac:dyDescent="0.25">
      <c r="A7" s="16">
        <v>6</v>
      </c>
      <c r="B7" s="15" t="str">
        <f>ExpandWeeks(统计结果!B7)</f>
        <v/>
      </c>
      <c r="C7" s="15" t="str">
        <f>ExpandWeeks(统计结果!C7)</f>
        <v>9,10,11,12</v>
      </c>
      <c r="D7" s="15" t="str">
        <f>ExpandWeeks(统计结果!D7)</f>
        <v/>
      </c>
      <c r="E7" s="15" t="str">
        <f>ExpandWeeks(统计结果!E7)</f>
        <v/>
      </c>
      <c r="F7" s="15" t="str">
        <f>ExpandWeeks(统计结果!F7)</f>
        <v/>
      </c>
      <c r="G7" s="15" t="str">
        <f>ExpandWeeks(统计结果!G7)</f>
        <v/>
      </c>
      <c r="H7" s="15" t="str">
        <f>ExpandWeeks(统计结果!H7)</f>
        <v/>
      </c>
    </row>
    <row r="8" spans="1:8" x14ac:dyDescent="0.25">
      <c r="A8" s="16">
        <v>7</v>
      </c>
      <c r="B8" s="15" t="str">
        <f>ExpandWeeks(统计结果!B8)</f>
        <v/>
      </c>
      <c r="C8" s="15" t="str">
        <f>ExpandWeeks(统计结果!C8)</f>
        <v>9,10,11,12</v>
      </c>
      <c r="D8" s="15" t="str">
        <f>ExpandWeeks(统计结果!D8)</f>
        <v/>
      </c>
      <c r="E8" s="15" t="str">
        <f>ExpandWeeks(统计结果!E8)</f>
        <v/>
      </c>
      <c r="F8" s="15" t="str">
        <f>ExpandWeeks(统计结果!F8)</f>
        <v/>
      </c>
      <c r="G8" s="15" t="str">
        <f>ExpandWeeks(统计结果!G8)</f>
        <v/>
      </c>
      <c r="H8" s="15" t="str">
        <f>ExpandWeeks(统计结果!H8)</f>
        <v/>
      </c>
    </row>
    <row r="9" spans="1:8" x14ac:dyDescent="0.25">
      <c r="A9" s="16">
        <v>8</v>
      </c>
      <c r="B9" s="15" t="str">
        <f>ExpandWeeks(统计结果!B9)</f>
        <v>5,6,7,8,9,10</v>
      </c>
      <c r="C9" s="15" t="str">
        <f>ExpandWeeks(统计结果!C9)</f>
        <v>1,2,5,6,7,8,9,10,11,12</v>
      </c>
      <c r="D9" s="15" t="str">
        <f>ExpandWeeks(统计结果!D9)</f>
        <v>1,2,5,6,7,8,9,10</v>
      </c>
      <c r="E9" s="15" t="str">
        <f>ExpandWeeks(统计结果!E9)</f>
        <v>7,8,9,10,11,12</v>
      </c>
      <c r="F9" s="15" t="str">
        <f>ExpandWeeks(统计结果!F9)</f>
        <v>1,2,4,5,6,7,8,9</v>
      </c>
      <c r="G9" s="15" t="str">
        <f>ExpandWeeks(统计结果!G9)</f>
        <v/>
      </c>
      <c r="H9" s="15" t="str">
        <f>ExpandWeeks(统计结果!H9)</f>
        <v/>
      </c>
    </row>
    <row r="10" spans="1:8" x14ac:dyDescent="0.25">
      <c r="A10" s="16">
        <v>9</v>
      </c>
      <c r="B10" s="15" t="str">
        <f>ExpandWeeks(统计结果!B10)</f>
        <v>5,6,7,8,9,10</v>
      </c>
      <c r="C10" s="15" t="str">
        <f>ExpandWeeks(统计结果!C10)</f>
        <v>1,2,5,6,7,8,9,10,11,12</v>
      </c>
      <c r="D10" s="15" t="str">
        <f>ExpandWeeks(统计结果!D10)</f>
        <v>1,2,5,6,7,8,9,10</v>
      </c>
      <c r="E10" s="15" t="str">
        <f>ExpandWeeks(统计结果!E10)</f>
        <v>7,8,9,10,11,12</v>
      </c>
      <c r="F10" s="15" t="str">
        <f>ExpandWeeks(统计结果!F10)</f>
        <v>1,2,4,5,6,7,8,9</v>
      </c>
      <c r="G10" s="15" t="str">
        <f>ExpandWeeks(统计结果!G10)</f>
        <v/>
      </c>
      <c r="H10" s="15" t="str">
        <f>ExpandWeeks(统计结果!H10)</f>
        <v/>
      </c>
    </row>
    <row r="11" spans="1:8" x14ac:dyDescent="0.25">
      <c r="A11" s="16">
        <v>10</v>
      </c>
      <c r="B11" s="15" t="str">
        <f>ExpandWeeks(统计结果!B11)</f>
        <v>5,6,7,8,9</v>
      </c>
      <c r="C11" s="15" t="str">
        <f>ExpandWeeks(统计结果!C11)</f>
        <v>1,2,5,6,7,8,9,10,11,12</v>
      </c>
      <c r="D11" s="15" t="str">
        <f>ExpandWeeks(统计结果!D11)</f>
        <v>1,2,5,6,7,8,9,10</v>
      </c>
      <c r="E11" s="15" t="str">
        <f>ExpandWeeks(统计结果!E11)</f>
        <v>7,8,9,10,11,12</v>
      </c>
      <c r="F11" s="15" t="str">
        <f>ExpandWeeks(统计结果!F11)</f>
        <v>1,2,4,5,6,7,8,9</v>
      </c>
      <c r="G11" s="15" t="str">
        <f>ExpandWeeks(统计结果!G11)</f>
        <v/>
      </c>
      <c r="H11" s="15" t="str">
        <f>ExpandWeeks(统计结果!H11)</f>
        <v/>
      </c>
    </row>
    <row r="12" spans="1:8" x14ac:dyDescent="0.25">
      <c r="A12" s="16">
        <v>11</v>
      </c>
      <c r="B12" s="15" t="str">
        <f>ExpandWeeks(统计结果!B12)</f>
        <v/>
      </c>
      <c r="C12" s="15" t="str">
        <f>ExpandWeeks(统计结果!C12)</f>
        <v>9,10,11,12</v>
      </c>
      <c r="D12" s="15" t="str">
        <f>ExpandWeeks(统计结果!D12)</f>
        <v/>
      </c>
      <c r="E12" s="15" t="str">
        <f>ExpandWeeks(统计结果!E12)</f>
        <v/>
      </c>
      <c r="F12" s="15" t="str">
        <f>ExpandWeeks(统计结果!F12)</f>
        <v/>
      </c>
      <c r="G12" s="15" t="str">
        <f>ExpandWeeks(统计结果!G12)</f>
        <v/>
      </c>
      <c r="H12" s="15" t="str">
        <f>ExpandWeeks(统计结果!H12)</f>
        <v/>
      </c>
    </row>
    <row r="13" spans="1:8" x14ac:dyDescent="0.25">
      <c r="A13" s="16">
        <v>12</v>
      </c>
      <c r="B13" s="15" t="str">
        <f>ExpandWeeks(统计结果!B13)</f>
        <v/>
      </c>
      <c r="C13" s="15" t="str">
        <f>ExpandWeeks(统计结果!C13)</f>
        <v>9,10,11,12</v>
      </c>
      <c r="D13" s="15" t="str">
        <f>ExpandWeeks(统计结果!D13)</f>
        <v/>
      </c>
      <c r="E13" s="15" t="str">
        <f>ExpandWeeks(统计结果!E13)</f>
        <v/>
      </c>
      <c r="F13" s="15" t="str">
        <f>ExpandWeeks(统计结果!F13)</f>
        <v/>
      </c>
      <c r="G13" s="15" t="str">
        <f>ExpandWeeks(统计结果!G13)</f>
        <v/>
      </c>
      <c r="H13" s="15" t="str">
        <f>ExpandWeeks(统计结果!H13)</f>
        <v/>
      </c>
    </row>
    <row r="14" spans="1:8" x14ac:dyDescent="0.25">
      <c r="A14" s="16">
        <v>13</v>
      </c>
      <c r="B14" s="15" t="str">
        <f>ExpandWeeks(统计结果!B14)</f>
        <v/>
      </c>
      <c r="C14" s="15" t="str">
        <f>ExpandWeeks(统计结果!C14)</f>
        <v>9,10,11,12</v>
      </c>
      <c r="D14" s="15" t="str">
        <f>ExpandWeeks(统计结果!D14)</f>
        <v/>
      </c>
      <c r="E14" s="15" t="str">
        <f>ExpandWeeks(统计结果!E14)</f>
        <v/>
      </c>
      <c r="F14" s="15" t="str">
        <f>ExpandWeeks(统计结果!F14)</f>
        <v/>
      </c>
      <c r="G14" s="15" t="str">
        <f>ExpandWeeks(统计结果!G14)</f>
        <v/>
      </c>
      <c r="H14" s="15" t="str">
        <f>ExpandWeeks(统计结果!H14)</f>
        <v/>
      </c>
    </row>
    <row r="16" spans="1:8" x14ac:dyDescent="0.25">
      <c r="A16" s="28" t="s">
        <v>6</v>
      </c>
      <c r="B16" s="26" t="s">
        <v>0</v>
      </c>
      <c r="C16" s="26" t="s">
        <v>1</v>
      </c>
      <c r="D16" s="26" t="s">
        <v>2</v>
      </c>
      <c r="E16" s="26" t="s">
        <v>3</v>
      </c>
      <c r="F16" s="26" t="s">
        <v>4</v>
      </c>
      <c r="G16" s="20" t="s">
        <v>55</v>
      </c>
      <c r="H16" s="20" t="s">
        <v>56</v>
      </c>
    </row>
    <row r="17" spans="1:8" x14ac:dyDescent="0.25">
      <c r="A17" s="28">
        <v>1</v>
      </c>
      <c r="B17" s="29" t="str">
        <f>ExpandWeeks(统计结果!B17)</f>
        <v>3,4,5</v>
      </c>
      <c r="C17" s="29" t="str">
        <f>ExpandWeeks(统计结果!C17)</f>
        <v>1,2,8,9,10</v>
      </c>
      <c r="D17" s="29" t="str">
        <f>ExpandWeeks(统计结果!D17)</f>
        <v>3,4,5,8,9,10</v>
      </c>
      <c r="E17" s="29" t="str">
        <f>ExpandWeeks(统计结果!E17)</f>
        <v>3,4,5</v>
      </c>
      <c r="F17" s="29" t="str">
        <f>ExpandWeeks(统计结果!F17)</f>
        <v>8,9,10</v>
      </c>
      <c r="G17" s="29" t="str">
        <f>ExpandWeeks(统计结果!G17)</f>
        <v/>
      </c>
      <c r="H17" s="29" t="str">
        <f>ExpandWeeks(统计结果!H17)</f>
        <v/>
      </c>
    </row>
    <row r="18" spans="1:8" x14ac:dyDescent="0.25">
      <c r="A18" s="28">
        <v>2</v>
      </c>
      <c r="B18" s="29" t="str">
        <f>ExpandWeeks(统计结果!B18)</f>
        <v>3,4,5</v>
      </c>
      <c r="C18" s="29" t="str">
        <f>ExpandWeeks(统计结果!C18)</f>
        <v>1,2,8,9,10</v>
      </c>
      <c r="D18" s="29" t="str">
        <f>ExpandWeeks(统计结果!D18)</f>
        <v>3,4,5,8,9,10</v>
      </c>
      <c r="E18" s="29" t="str">
        <f>ExpandWeeks(统计结果!E18)</f>
        <v>3,4,5</v>
      </c>
      <c r="F18" s="29" t="str">
        <f>ExpandWeeks(统计结果!F18)</f>
        <v>8,9,10</v>
      </c>
      <c r="G18" s="29" t="str">
        <f>ExpandWeeks(统计结果!G18)</f>
        <v/>
      </c>
      <c r="H18" s="29" t="str">
        <f>ExpandWeeks(统计结果!H18)</f>
        <v/>
      </c>
    </row>
    <row r="19" spans="1:8" x14ac:dyDescent="0.25">
      <c r="A19" s="28">
        <v>3</v>
      </c>
      <c r="B19" s="29" t="str">
        <f>ExpandWeeks(统计结果!B19)</f>
        <v>3,4,5</v>
      </c>
      <c r="C19" s="29" t="str">
        <f>ExpandWeeks(统计结果!C19)</f>
        <v>1,2</v>
      </c>
      <c r="D19" s="29" t="str">
        <f>ExpandWeeks(统计结果!D19)</f>
        <v/>
      </c>
      <c r="E19" s="29" t="str">
        <f>ExpandWeeks(统计结果!E19)</f>
        <v>3,4,5</v>
      </c>
      <c r="F19" s="29" t="str">
        <f>ExpandWeeks(统计结果!F19)</f>
        <v/>
      </c>
      <c r="G19" s="29" t="str">
        <f>ExpandWeeks(统计结果!G19)</f>
        <v/>
      </c>
      <c r="H19" s="29" t="str">
        <f>ExpandWeeks(统计结果!H19)</f>
        <v/>
      </c>
    </row>
    <row r="20" spans="1:8" x14ac:dyDescent="0.25">
      <c r="A20" s="28">
        <v>4</v>
      </c>
      <c r="B20" s="29" t="str">
        <f>ExpandWeeks(统计结果!B20)</f>
        <v/>
      </c>
      <c r="C20" s="29" t="str">
        <f>ExpandWeeks(统计结果!C20)</f>
        <v>1,2</v>
      </c>
      <c r="D20" s="29" t="str">
        <f>ExpandWeeks(统计结果!D20)</f>
        <v/>
      </c>
      <c r="E20" s="29" t="str">
        <f>ExpandWeeks(统计结果!E20)</f>
        <v>3,4,5</v>
      </c>
      <c r="F20" s="29" t="str">
        <f>ExpandWeeks(统计结果!F20)</f>
        <v>8,9,10</v>
      </c>
      <c r="G20" s="29" t="str">
        <f>ExpandWeeks(统计结果!G20)</f>
        <v/>
      </c>
      <c r="H20" s="29" t="str">
        <f>ExpandWeeks(统计结果!H20)</f>
        <v/>
      </c>
    </row>
    <row r="21" spans="1:8" x14ac:dyDescent="0.25">
      <c r="A21" s="28">
        <v>5</v>
      </c>
      <c r="B21" s="29" t="str">
        <f>ExpandWeeks(统计结果!B21)</f>
        <v>8,9,10</v>
      </c>
      <c r="C21" s="29" t="str">
        <f>ExpandWeeks(统计结果!C21)</f>
        <v>1,2,3,4,5,8,9,10</v>
      </c>
      <c r="D21" s="29" t="str">
        <f>ExpandWeeks(统计结果!D21)</f>
        <v>3,4,5,8,9,10</v>
      </c>
      <c r="E21" s="29" t="str">
        <f>ExpandWeeks(统计结果!E21)</f>
        <v>3,4,5</v>
      </c>
      <c r="F21" s="29" t="str">
        <f>ExpandWeeks(统计结果!F21)</f>
        <v>8,9,10</v>
      </c>
      <c r="G21" s="29" t="str">
        <f>ExpandWeeks(统计结果!G21)</f>
        <v/>
      </c>
      <c r="H21" s="29" t="str">
        <f>ExpandWeeks(统计结果!H21)</f>
        <v/>
      </c>
    </row>
    <row r="22" spans="1:8" x14ac:dyDescent="0.25">
      <c r="A22" s="28">
        <v>6</v>
      </c>
      <c r="B22" s="29" t="str">
        <f>ExpandWeeks(统计结果!B22)</f>
        <v>8,9,10</v>
      </c>
      <c r="C22" s="29" t="str">
        <f>ExpandWeeks(统计结果!C22)</f>
        <v>1,2,3,4,5,8,9,10</v>
      </c>
      <c r="D22" s="29" t="str">
        <f>ExpandWeeks(统计结果!D22)</f>
        <v>3,4,5,8,9,10</v>
      </c>
      <c r="E22" s="29" t="str">
        <f>ExpandWeeks(统计结果!E22)</f>
        <v>3,4,5</v>
      </c>
      <c r="F22" s="29" t="str">
        <f>ExpandWeeks(统计结果!F22)</f>
        <v>8,9,10</v>
      </c>
      <c r="G22" s="29" t="str">
        <f>ExpandWeeks(统计结果!G22)</f>
        <v/>
      </c>
      <c r="H22" s="29" t="str">
        <f>ExpandWeeks(统计结果!H22)</f>
        <v/>
      </c>
    </row>
    <row r="23" spans="1:8" x14ac:dyDescent="0.25">
      <c r="A23" s="28">
        <v>7</v>
      </c>
      <c r="B23" s="29" t="str">
        <f>ExpandWeeks(统计结果!B23)</f>
        <v>3,4,5,8,9,10</v>
      </c>
      <c r="C23" s="29" t="str">
        <f>ExpandWeeks(统计结果!C23)</f>
        <v>1,2,3,4,5,8,9,10</v>
      </c>
      <c r="D23" s="29" t="str">
        <f>ExpandWeeks(统计结果!D23)</f>
        <v>3,4,5,8,9,10</v>
      </c>
      <c r="E23" s="29" t="str">
        <f>ExpandWeeks(统计结果!E23)</f>
        <v>3,4,5,8,9,10</v>
      </c>
      <c r="F23" s="29" t="str">
        <f>ExpandWeeks(统计结果!F23)</f>
        <v>8,9,10</v>
      </c>
      <c r="G23" s="29" t="str">
        <f>ExpandWeeks(统计结果!G23)</f>
        <v/>
      </c>
      <c r="H23" s="29" t="str">
        <f>ExpandWeeks(统计结果!H23)</f>
        <v/>
      </c>
    </row>
    <row r="24" spans="1:8" x14ac:dyDescent="0.25">
      <c r="A24" s="28">
        <v>8</v>
      </c>
      <c r="B24" s="29" t="str">
        <f>ExpandWeeks(统计结果!B24)</f>
        <v>3,4,5,8,9,10</v>
      </c>
      <c r="C24" s="29" t="str">
        <f>ExpandWeeks(统计结果!C24)</f>
        <v>1,2,3,4,5,8,9,10</v>
      </c>
      <c r="D24" s="29" t="str">
        <f>ExpandWeeks(统计结果!D24)</f>
        <v>3,4,5,8,9,10</v>
      </c>
      <c r="E24" s="29" t="str">
        <f>ExpandWeeks(统计结果!E24)</f>
        <v>3,4,5,8,9,10</v>
      </c>
      <c r="F24" s="29" t="str">
        <f>ExpandWeeks(统计结果!F24)</f>
        <v>8,9,10</v>
      </c>
      <c r="G24" s="29" t="str">
        <f>ExpandWeeks(统计结果!G24)</f>
        <v/>
      </c>
      <c r="H24" s="29" t="str">
        <f>ExpandWeeks(统计结果!H24)</f>
        <v/>
      </c>
    </row>
    <row r="25" spans="1:8" x14ac:dyDescent="0.25">
      <c r="A25" s="28">
        <v>9</v>
      </c>
      <c r="B25" s="29" t="str">
        <f>ExpandWeeks(统计结果!B25)</f>
        <v>3,4,5,8,9,10</v>
      </c>
      <c r="C25" s="29" t="str">
        <f>ExpandWeeks(统计结果!C25)</f>
        <v>1,2,3,4,5,6,7,8,9,10,11,12,13</v>
      </c>
      <c r="D25" s="29" t="str">
        <f>ExpandWeeks(统计结果!D25)</f>
        <v>3,4,5,8,9,10</v>
      </c>
      <c r="E25" s="29" t="str">
        <f>ExpandWeeks(统计结果!E25)</f>
        <v>3,4,5,8,9,10</v>
      </c>
      <c r="F25" s="29" t="str">
        <f>ExpandWeeks(统计结果!F25)</f>
        <v>8,9,10</v>
      </c>
      <c r="G25" s="29" t="str">
        <f>ExpandWeeks(统计结果!G25)</f>
        <v/>
      </c>
      <c r="H25" s="29" t="str">
        <f>ExpandWeeks(统计结果!H25)</f>
        <v/>
      </c>
    </row>
    <row r="26" spans="1:8" x14ac:dyDescent="0.25">
      <c r="A26" s="28">
        <v>10</v>
      </c>
      <c r="B26" s="29" t="str">
        <f>ExpandWeeks(统计结果!B26)</f>
        <v>8,9</v>
      </c>
      <c r="C26" s="29" t="str">
        <f>ExpandWeeks(统计结果!C26)</f>
        <v>1,2,6,7,8,9,10,11,12,13</v>
      </c>
      <c r="D26" s="29" t="str">
        <f>ExpandWeeks(统计结果!D26)</f>
        <v>3,4,5,8,9,10</v>
      </c>
      <c r="E26" s="29" t="str">
        <f>ExpandWeeks(统计结果!E26)</f>
        <v>3,4,5,8,9,10</v>
      </c>
      <c r="F26" s="29" t="str">
        <f>ExpandWeeks(统计结果!F26)</f>
        <v/>
      </c>
      <c r="G26" s="29" t="str">
        <f>ExpandWeeks(统计结果!G26)</f>
        <v/>
      </c>
      <c r="H26" s="29" t="str">
        <f>ExpandWeeks(统计结果!H26)</f>
        <v/>
      </c>
    </row>
    <row r="27" spans="1:8" x14ac:dyDescent="0.25">
      <c r="A27" s="28">
        <v>11</v>
      </c>
      <c r="B27" s="29" t="str">
        <f>ExpandWeeks(统计结果!B27)</f>
        <v/>
      </c>
      <c r="C27" s="29" t="str">
        <f>ExpandWeeks(统计结果!C27)</f>
        <v>1,2,6,7,8,9,10,11,12,13</v>
      </c>
      <c r="D27" s="29" t="str">
        <f>ExpandWeeks(统计结果!D27)</f>
        <v>3,4,5</v>
      </c>
      <c r="E27" s="29" t="str">
        <f>ExpandWeeks(统计结果!E27)</f>
        <v>3,4,5,8,9,10</v>
      </c>
      <c r="F27" s="29" t="str">
        <f>ExpandWeeks(统计结果!F27)</f>
        <v/>
      </c>
      <c r="G27" s="29" t="str">
        <f>ExpandWeeks(统计结果!G27)</f>
        <v/>
      </c>
      <c r="H27" s="29" t="str">
        <f>ExpandWeeks(统计结果!H27)</f>
        <v/>
      </c>
    </row>
    <row r="28" spans="1:8" x14ac:dyDescent="0.25">
      <c r="A28" s="28">
        <v>12</v>
      </c>
      <c r="B28" s="29" t="str">
        <f>ExpandWeeks(统计结果!B28)</f>
        <v/>
      </c>
      <c r="C28" s="29" t="str">
        <f>ExpandWeeks(统计结果!C28)</f>
        <v>1,2,6,7,8,9,10,11,12,13</v>
      </c>
      <c r="D28" s="29" t="str">
        <f>ExpandWeeks(统计结果!D28)</f>
        <v>3,4,5</v>
      </c>
      <c r="E28" s="29" t="str">
        <f>ExpandWeeks(统计结果!E28)</f>
        <v>8,9,10</v>
      </c>
      <c r="F28" s="29" t="str">
        <f>ExpandWeeks(统计结果!F28)</f>
        <v/>
      </c>
      <c r="G28" s="29" t="str">
        <f>ExpandWeeks(统计结果!G28)</f>
        <v/>
      </c>
      <c r="H28" s="29" t="str">
        <f>ExpandWeeks(统计结果!H28)</f>
        <v/>
      </c>
    </row>
    <row r="29" spans="1:8" x14ac:dyDescent="0.25">
      <c r="A29" s="28">
        <v>13</v>
      </c>
      <c r="B29" s="29" t="str">
        <f>ExpandWeeks(统计结果!B29)</f>
        <v/>
      </c>
      <c r="C29" s="29" t="str">
        <f>ExpandWeeks(统计结果!C29)</f>
        <v>1,2</v>
      </c>
      <c r="D29" s="29" t="str">
        <f>ExpandWeeks(统计结果!D29)</f>
        <v>3,4,5</v>
      </c>
      <c r="E29" s="29" t="str">
        <f>ExpandWeeks(统计结果!E29)</f>
        <v/>
      </c>
      <c r="F29" s="29" t="str">
        <f>ExpandWeeks(统计结果!F29)</f>
        <v/>
      </c>
      <c r="G29" s="29" t="str">
        <f>ExpandWeeks(统计结果!G29)</f>
        <v/>
      </c>
      <c r="H29" s="29" t="str">
        <f>ExpandWeeks(统计结果!H29)</f>
        <v/>
      </c>
    </row>
    <row r="30" spans="1:8" x14ac:dyDescent="0.25">
      <c r="A30" s="28">
        <v>14</v>
      </c>
      <c r="B30" s="29" t="str">
        <f>ExpandWeeks(统计结果!B30)</f>
        <v/>
      </c>
      <c r="C30" s="29" t="str">
        <f>ExpandWeeks(统计结果!C30)</f>
        <v>1,2</v>
      </c>
      <c r="D30" s="29" t="str">
        <f>ExpandWeeks(统计结果!D30)</f>
        <v>3,4,5</v>
      </c>
      <c r="E30" s="29" t="str">
        <f>ExpandWeeks(统计结果!E30)</f>
        <v/>
      </c>
      <c r="F30" s="29" t="str">
        <f>ExpandWeeks(统计结果!F30)</f>
        <v/>
      </c>
      <c r="G30" s="29" t="str">
        <f>ExpandWeeks(统计结果!G30)</f>
        <v/>
      </c>
      <c r="H30" s="29" t="str">
        <f>ExpandWeeks(统计结果!H30)</f>
        <v/>
      </c>
    </row>
    <row r="31" spans="1:8" x14ac:dyDescent="0.25">
      <c r="A31" s="28">
        <v>15</v>
      </c>
      <c r="B31" s="29" t="str">
        <f>ExpandWeeks(统计结果!B31)</f>
        <v/>
      </c>
      <c r="C31" s="29" t="str">
        <f>ExpandWeeks(统计结果!C31)</f>
        <v>1,2</v>
      </c>
      <c r="D31" s="29" t="str">
        <f>ExpandWeeks(统计结果!D31)</f>
        <v>3,4,5</v>
      </c>
      <c r="E31" s="29" t="str">
        <f>ExpandWeeks(统计结果!E31)</f>
        <v/>
      </c>
      <c r="F31" s="29" t="str">
        <f>ExpandWeeks(统计结果!F31)</f>
        <v/>
      </c>
      <c r="G31" s="29" t="str">
        <f>ExpandWeeks(统计结果!G31)</f>
        <v/>
      </c>
      <c r="H31" s="29" t="str">
        <f>ExpandWeeks(统计结果!H31)</f>
        <v/>
      </c>
    </row>
    <row r="32" spans="1:8" x14ac:dyDescent="0.25">
      <c r="A32" s="28">
        <v>16</v>
      </c>
      <c r="B32" s="29" t="str">
        <f>ExpandWeeks(统计结果!B32)</f>
        <v/>
      </c>
      <c r="C32" s="29" t="str">
        <f>ExpandWeeks(统计结果!C32)</f>
        <v>1,2</v>
      </c>
      <c r="D32" s="29" t="str">
        <f>ExpandWeeks(统计结果!D32)</f>
        <v/>
      </c>
      <c r="E32" s="29" t="str">
        <f>ExpandWeeks(统计结果!E32)</f>
        <v/>
      </c>
      <c r="F32" s="29" t="str">
        <f>ExpandWeeks(统计结果!F32)</f>
        <v/>
      </c>
      <c r="G32" s="29" t="str">
        <f>ExpandWeeks(统计结果!G32)</f>
        <v/>
      </c>
      <c r="H32" s="29" t="str">
        <f>ExpandWeeks(统计结果!H32)</f>
        <v/>
      </c>
    </row>
    <row r="33" spans="1:8" x14ac:dyDescent="0.25">
      <c r="A33" s="28">
        <v>17</v>
      </c>
      <c r="B33" s="29" t="str">
        <f>ExpandWeeks(统计结果!B33)</f>
        <v/>
      </c>
      <c r="C33" s="29" t="str">
        <f>ExpandWeeks(统计结果!C33)</f>
        <v>1,2</v>
      </c>
      <c r="D33" s="29" t="str">
        <f>ExpandWeeks(统计结果!D33)</f>
        <v/>
      </c>
      <c r="E33" s="29" t="str">
        <f>ExpandWeeks(统计结果!E33)</f>
        <v/>
      </c>
      <c r="F33" s="29" t="str">
        <f>ExpandWeeks(统计结果!F33)</f>
        <v/>
      </c>
      <c r="G33" s="29" t="str">
        <f>ExpandWeeks(统计结果!G33)</f>
        <v/>
      </c>
      <c r="H33" s="29" t="str">
        <f>ExpandWeeks(统计结果!H33)</f>
        <v/>
      </c>
    </row>
    <row r="34" spans="1:8" x14ac:dyDescent="0.25">
      <c r="A34" s="28">
        <v>18</v>
      </c>
      <c r="B34" s="29" t="str">
        <f>ExpandWeeks(统计结果!B34)</f>
        <v/>
      </c>
      <c r="C34" s="29" t="str">
        <f>ExpandWeeks(统计结果!C34)</f>
        <v/>
      </c>
      <c r="D34" s="29" t="str">
        <f>ExpandWeeks(统计结果!D34)</f>
        <v/>
      </c>
      <c r="E34" s="29" t="str">
        <f>ExpandWeeks(统计结果!E34)</f>
        <v/>
      </c>
      <c r="F34" s="29" t="str">
        <f>ExpandWeeks(统计结果!F34)</f>
        <v/>
      </c>
      <c r="G34" s="29" t="str">
        <f>ExpandWeeks(统计结果!G34)</f>
        <v/>
      </c>
      <c r="H34" s="29" t="str">
        <f>ExpandWeeks(统计结果!H34)</f>
        <v/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4D2B8-EDDF-45F2-B7DC-8DB8D39E01D4}">
  <sheetPr codeName="Sheet1"/>
  <dimension ref="A1:Q15"/>
  <sheetViews>
    <sheetView workbookViewId="0">
      <selection activeCell="P6" sqref="P6"/>
    </sheetView>
  </sheetViews>
  <sheetFormatPr defaultRowHeight="13.8" x14ac:dyDescent="0.25"/>
  <cols>
    <col min="1" max="1" width="36.6640625" customWidth="1"/>
    <col min="16" max="16" width="35.33203125" customWidth="1"/>
  </cols>
  <sheetData>
    <row r="1" spans="1:17" s="3" customFormat="1" ht="13.2" x14ac:dyDescent="0.25">
      <c r="A1" s="20" t="s">
        <v>32</v>
      </c>
      <c r="B1" s="20" t="s">
        <v>33</v>
      </c>
      <c r="C1" s="20" t="s">
        <v>41</v>
      </c>
      <c r="D1" s="20" t="s">
        <v>42</v>
      </c>
      <c r="E1" s="20" t="s">
        <v>34</v>
      </c>
      <c r="F1" s="20" t="s">
        <v>6</v>
      </c>
      <c r="G1" s="20" t="s">
        <v>35</v>
      </c>
      <c r="H1" s="20" t="s">
        <v>36</v>
      </c>
      <c r="I1" s="20" t="s">
        <v>37</v>
      </c>
      <c r="J1" s="20" t="s">
        <v>38</v>
      </c>
      <c r="K1" s="20" t="s">
        <v>39</v>
      </c>
      <c r="L1" s="20" t="s">
        <v>43</v>
      </c>
      <c r="M1" s="20" t="s">
        <v>44</v>
      </c>
      <c r="N1" s="20" t="s">
        <v>45</v>
      </c>
      <c r="O1" s="20" t="s">
        <v>40</v>
      </c>
      <c r="P1" s="9" t="s">
        <v>46</v>
      </c>
      <c r="Q1" s="21" t="s">
        <v>51</v>
      </c>
    </row>
    <row r="2" spans="1:17" x14ac:dyDescent="0.25">
      <c r="A2" s="45" t="s">
        <v>60</v>
      </c>
      <c r="B2" s="7">
        <v>2700006</v>
      </c>
      <c r="C2" s="7"/>
      <c r="D2" s="7"/>
      <c r="E2" s="8">
        <v>2</v>
      </c>
      <c r="F2" s="7" t="s">
        <v>49</v>
      </c>
      <c r="G2" s="8" t="s">
        <v>7</v>
      </c>
      <c r="H2" s="8" t="s">
        <v>8</v>
      </c>
      <c r="I2" s="8" t="s">
        <v>9</v>
      </c>
      <c r="J2" s="46" t="s">
        <v>70</v>
      </c>
      <c r="K2" s="7" t="s">
        <v>71</v>
      </c>
      <c r="L2" s="7"/>
      <c r="M2" s="7"/>
      <c r="N2" s="7"/>
      <c r="O2" s="7" t="s">
        <v>10</v>
      </c>
    </row>
    <row r="3" spans="1:17" x14ac:dyDescent="0.25">
      <c r="A3" s="45" t="s">
        <v>61</v>
      </c>
      <c r="B3" s="7">
        <v>191981</v>
      </c>
      <c r="C3" s="7"/>
      <c r="D3" s="7"/>
      <c r="E3" s="8">
        <v>2</v>
      </c>
      <c r="F3" s="7" t="s">
        <v>11</v>
      </c>
      <c r="G3" s="8" t="s">
        <v>12</v>
      </c>
      <c r="H3" s="8" t="s">
        <v>13</v>
      </c>
      <c r="I3" s="8" t="s">
        <v>14</v>
      </c>
      <c r="J3" s="46" t="s">
        <v>70</v>
      </c>
      <c r="K3" s="7" t="s">
        <v>72</v>
      </c>
      <c r="L3" s="7"/>
      <c r="M3" s="7"/>
      <c r="N3" s="7"/>
      <c r="O3" s="7" t="s">
        <v>10</v>
      </c>
    </row>
    <row r="4" spans="1:17" x14ac:dyDescent="0.25">
      <c r="A4" s="45" t="s">
        <v>62</v>
      </c>
      <c r="B4" s="7">
        <v>500515</v>
      </c>
      <c r="C4" s="7"/>
      <c r="D4" s="7"/>
      <c r="E4" s="8">
        <v>0</v>
      </c>
      <c r="F4" s="7" t="s">
        <v>15</v>
      </c>
      <c r="G4" s="8" t="s">
        <v>16</v>
      </c>
      <c r="H4" s="8" t="s">
        <v>8</v>
      </c>
      <c r="I4" s="8" t="s">
        <v>9</v>
      </c>
      <c r="J4" s="46" t="s">
        <v>70</v>
      </c>
      <c r="K4" s="7" t="s">
        <v>73</v>
      </c>
      <c r="L4" s="7"/>
      <c r="M4" s="7"/>
      <c r="N4" s="7"/>
      <c r="O4" s="47" t="s">
        <v>96</v>
      </c>
    </row>
    <row r="5" spans="1:17" x14ac:dyDescent="0.25">
      <c r="A5" s="45" t="s">
        <v>69</v>
      </c>
      <c r="B5" s="7">
        <v>500514</v>
      </c>
      <c r="C5" s="7"/>
      <c r="D5" s="7"/>
      <c r="E5" s="8">
        <v>1</v>
      </c>
      <c r="F5" s="7" t="s">
        <v>17</v>
      </c>
      <c r="G5" s="10" t="s">
        <v>47</v>
      </c>
      <c r="H5" s="8" t="s">
        <v>18</v>
      </c>
      <c r="I5" s="8" t="s">
        <v>19</v>
      </c>
      <c r="J5" s="46" t="s">
        <v>70</v>
      </c>
      <c r="K5" s="7" t="s">
        <v>74</v>
      </c>
      <c r="L5" s="7"/>
      <c r="M5" s="7"/>
      <c r="N5" s="7"/>
      <c r="O5" s="47" t="s">
        <v>96</v>
      </c>
    </row>
    <row r="6" spans="1:17" x14ac:dyDescent="0.25">
      <c r="A6" s="45" t="s">
        <v>63</v>
      </c>
      <c r="B6" s="7">
        <v>500114</v>
      </c>
      <c r="C6" s="7"/>
      <c r="D6" s="7"/>
      <c r="E6" s="8">
        <v>2</v>
      </c>
      <c r="F6" s="7" t="s">
        <v>20</v>
      </c>
      <c r="G6" s="8" t="s">
        <v>16</v>
      </c>
      <c r="H6" s="8" t="s">
        <v>19</v>
      </c>
      <c r="I6" s="8" t="s">
        <v>19</v>
      </c>
      <c r="J6" s="46" t="s">
        <v>70</v>
      </c>
      <c r="K6" s="7" t="s">
        <v>75</v>
      </c>
      <c r="L6" s="7"/>
      <c r="M6" s="7"/>
      <c r="N6" s="7"/>
      <c r="O6" s="47" t="s">
        <v>96</v>
      </c>
    </row>
    <row r="7" spans="1:17" x14ac:dyDescent="0.25">
      <c r="A7" s="45" t="s">
        <v>63</v>
      </c>
      <c r="B7" s="7">
        <v>500114</v>
      </c>
      <c r="C7" s="7"/>
      <c r="D7" s="7"/>
      <c r="E7" s="8">
        <v>2</v>
      </c>
      <c r="F7" s="7" t="s">
        <v>20</v>
      </c>
      <c r="G7" s="8" t="s">
        <v>12</v>
      </c>
      <c r="H7" s="8" t="s">
        <v>8</v>
      </c>
      <c r="I7" s="8" t="s">
        <v>9</v>
      </c>
      <c r="J7" s="46" t="s">
        <v>70</v>
      </c>
      <c r="K7" s="7" t="s">
        <v>76</v>
      </c>
      <c r="L7" s="7"/>
      <c r="M7" s="7"/>
      <c r="N7" s="7"/>
      <c r="O7" s="47" t="s">
        <v>95</v>
      </c>
    </row>
    <row r="8" spans="1:17" x14ac:dyDescent="0.25">
      <c r="A8" s="45" t="s">
        <v>63</v>
      </c>
      <c r="B8" s="7">
        <v>500114</v>
      </c>
      <c r="C8" s="7"/>
      <c r="D8" s="7"/>
      <c r="E8" s="8">
        <v>2</v>
      </c>
      <c r="F8" s="7" t="s">
        <v>21</v>
      </c>
      <c r="G8" s="8" t="s">
        <v>16</v>
      </c>
      <c r="H8" s="8" t="s">
        <v>18</v>
      </c>
      <c r="I8" s="8" t="s">
        <v>22</v>
      </c>
      <c r="J8" s="46" t="s">
        <v>70</v>
      </c>
      <c r="K8" s="7" t="s">
        <v>77</v>
      </c>
      <c r="L8" s="7"/>
      <c r="M8" s="7"/>
      <c r="N8" s="7"/>
      <c r="O8" s="47" t="s">
        <v>95</v>
      </c>
    </row>
    <row r="9" spans="1:17" x14ac:dyDescent="0.25">
      <c r="A9" s="45" t="s">
        <v>60</v>
      </c>
      <c r="B9" s="7">
        <v>2700006</v>
      </c>
      <c r="C9" s="7"/>
      <c r="D9" s="7"/>
      <c r="E9" s="8">
        <v>2</v>
      </c>
      <c r="F9" s="7" t="s">
        <v>48</v>
      </c>
      <c r="G9" s="8" t="s">
        <v>7</v>
      </c>
      <c r="H9" s="8" t="s">
        <v>8</v>
      </c>
      <c r="I9" s="8" t="s">
        <v>9</v>
      </c>
      <c r="J9" s="46" t="s">
        <v>70</v>
      </c>
      <c r="K9" s="7" t="s">
        <v>78</v>
      </c>
      <c r="L9" s="7"/>
      <c r="M9" s="7"/>
      <c r="N9" s="7"/>
      <c r="O9" s="47" t="s">
        <v>95</v>
      </c>
    </row>
    <row r="10" spans="1:17" x14ac:dyDescent="0.25">
      <c r="A10" s="45" t="s">
        <v>65</v>
      </c>
      <c r="B10" s="7">
        <v>110911</v>
      </c>
      <c r="C10" s="7"/>
      <c r="D10" s="7"/>
      <c r="E10" s="8">
        <v>1</v>
      </c>
      <c r="F10" s="7" t="s">
        <v>23</v>
      </c>
      <c r="G10" s="8" t="s">
        <v>12</v>
      </c>
      <c r="H10" s="8" t="s">
        <v>18</v>
      </c>
      <c r="I10" s="8" t="s">
        <v>19</v>
      </c>
      <c r="J10" s="46" t="s">
        <v>70</v>
      </c>
      <c r="K10" s="7" t="s">
        <v>79</v>
      </c>
      <c r="L10" s="7"/>
      <c r="M10" s="7"/>
      <c r="N10" s="7"/>
      <c r="O10" s="7" t="s">
        <v>10</v>
      </c>
    </row>
    <row r="11" spans="1:17" x14ac:dyDescent="0.25">
      <c r="A11" s="45" t="s">
        <v>64</v>
      </c>
      <c r="B11" s="7">
        <v>119911</v>
      </c>
      <c r="C11" s="7"/>
      <c r="D11" s="7"/>
      <c r="E11" s="8">
        <v>3</v>
      </c>
      <c r="F11" s="7" t="s">
        <v>24</v>
      </c>
      <c r="G11" s="8" t="s">
        <v>7</v>
      </c>
      <c r="H11" s="8" t="s">
        <v>18</v>
      </c>
      <c r="I11" s="8" t="s">
        <v>19</v>
      </c>
      <c r="J11" s="46" t="s">
        <v>70</v>
      </c>
      <c r="K11" s="7" t="s">
        <v>80</v>
      </c>
      <c r="L11" s="7"/>
      <c r="M11" s="7"/>
      <c r="N11" s="7"/>
      <c r="O11" s="7" t="s">
        <v>10</v>
      </c>
    </row>
    <row r="12" spans="1:17" x14ac:dyDescent="0.25">
      <c r="A12" s="45" t="s">
        <v>64</v>
      </c>
      <c r="B12" s="7">
        <v>119911</v>
      </c>
      <c r="C12" s="7"/>
      <c r="D12" s="7"/>
      <c r="E12" s="8">
        <v>3</v>
      </c>
      <c r="F12" s="7" t="s">
        <v>25</v>
      </c>
      <c r="G12" s="8" t="s">
        <v>26</v>
      </c>
      <c r="H12" s="8" t="s">
        <v>18</v>
      </c>
      <c r="I12" s="8" t="s">
        <v>19</v>
      </c>
      <c r="J12" s="46" t="s">
        <v>70</v>
      </c>
      <c r="K12" s="7" t="s">
        <v>81</v>
      </c>
      <c r="L12" s="7"/>
      <c r="M12" s="7"/>
      <c r="N12" s="7"/>
      <c r="O12" s="7" t="s">
        <v>10</v>
      </c>
    </row>
    <row r="13" spans="1:17" x14ac:dyDescent="0.25">
      <c r="A13" s="45" t="s">
        <v>66</v>
      </c>
      <c r="B13" s="7">
        <v>2200003</v>
      </c>
      <c r="C13" s="7"/>
      <c r="D13" s="7"/>
      <c r="E13" s="8">
        <v>0</v>
      </c>
      <c r="F13" s="7" t="s">
        <v>27</v>
      </c>
      <c r="G13" s="8" t="s">
        <v>16</v>
      </c>
      <c r="H13" s="8" t="s">
        <v>8</v>
      </c>
      <c r="I13" s="8" t="s">
        <v>9</v>
      </c>
      <c r="J13" s="46" t="s">
        <v>70</v>
      </c>
      <c r="K13" s="7" t="s">
        <v>82</v>
      </c>
      <c r="L13" s="7"/>
      <c r="M13" s="7"/>
      <c r="N13" s="7"/>
      <c r="O13" s="47" t="s">
        <v>94</v>
      </c>
    </row>
    <row r="14" spans="1:17" x14ac:dyDescent="0.25">
      <c r="A14" s="45" t="s">
        <v>67</v>
      </c>
      <c r="B14" s="7">
        <v>1700002</v>
      </c>
      <c r="C14" s="7"/>
      <c r="D14" s="7"/>
      <c r="E14" s="8">
        <v>2</v>
      </c>
      <c r="F14" s="7" t="s">
        <v>28</v>
      </c>
      <c r="G14" s="44" t="s">
        <v>59</v>
      </c>
      <c r="H14" s="8" t="s">
        <v>8</v>
      </c>
      <c r="I14" s="8" t="s">
        <v>9</v>
      </c>
      <c r="J14" s="46" t="s">
        <v>70</v>
      </c>
      <c r="K14" s="7" t="s">
        <v>83</v>
      </c>
      <c r="L14" s="7"/>
      <c r="M14" s="7"/>
      <c r="N14" s="7"/>
      <c r="O14" s="47" t="s">
        <v>94</v>
      </c>
    </row>
    <row r="15" spans="1:17" x14ac:dyDescent="0.25">
      <c r="A15" s="45" t="s">
        <v>68</v>
      </c>
      <c r="B15" s="7">
        <v>2400031</v>
      </c>
      <c r="C15" s="7"/>
      <c r="D15" s="7"/>
      <c r="E15" s="8">
        <v>2</v>
      </c>
      <c r="F15" s="7" t="s">
        <v>29</v>
      </c>
      <c r="G15" s="8" t="s">
        <v>12</v>
      </c>
      <c r="H15" s="8" t="s">
        <v>30</v>
      </c>
      <c r="I15" s="8" t="s">
        <v>31</v>
      </c>
      <c r="J15" s="46" t="s">
        <v>70</v>
      </c>
      <c r="K15" s="7" t="s">
        <v>84</v>
      </c>
      <c r="L15" s="6"/>
      <c r="M15" s="6"/>
      <c r="N15" s="6"/>
      <c r="O15" s="47" t="s">
        <v>94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AB00F-FC21-4122-AD05-1991BB933DE1}">
  <sheetPr codeName="Sheet3"/>
  <dimension ref="A1:V34"/>
  <sheetViews>
    <sheetView zoomScale="85" zoomScaleNormal="85" workbookViewId="0">
      <selection activeCell="N33" sqref="N33"/>
    </sheetView>
  </sheetViews>
  <sheetFormatPr defaultRowHeight="13.8" x14ac:dyDescent="0.25"/>
  <cols>
    <col min="1" max="1" width="6.6640625" customWidth="1"/>
    <col min="2" max="8" width="12.77734375" customWidth="1"/>
    <col min="9" max="9" width="7.109375" style="24" customWidth="1"/>
    <col min="10" max="16" width="5.77734375" customWidth="1"/>
  </cols>
  <sheetData>
    <row r="1" spans="1:22" x14ac:dyDescent="0.25">
      <c r="A1" s="12" t="s">
        <v>54</v>
      </c>
      <c r="B1" s="13" t="s">
        <v>0</v>
      </c>
      <c r="C1" s="13" t="s">
        <v>1</v>
      </c>
      <c r="D1" s="13" t="s">
        <v>2</v>
      </c>
      <c r="E1" s="13" t="s">
        <v>3</v>
      </c>
      <c r="F1" s="13" t="s">
        <v>4</v>
      </c>
      <c r="G1" s="13" t="s">
        <v>55</v>
      </c>
      <c r="H1" s="13" t="s">
        <v>56</v>
      </c>
      <c r="I1" s="17" t="s">
        <v>54</v>
      </c>
      <c r="J1" s="18" t="s">
        <v>0</v>
      </c>
      <c r="K1" s="18" t="s">
        <v>1</v>
      </c>
      <c r="L1" s="18" t="s">
        <v>2</v>
      </c>
      <c r="M1" s="18" t="s">
        <v>3</v>
      </c>
      <c r="N1" s="18" t="s">
        <v>4</v>
      </c>
      <c r="O1" s="18" t="s">
        <v>55</v>
      </c>
      <c r="P1" s="18" t="s">
        <v>56</v>
      </c>
      <c r="V1" s="2"/>
    </row>
    <row r="2" spans="1:22" x14ac:dyDescent="0.25">
      <c r="A2" s="14">
        <v>1</v>
      </c>
      <c r="B2" s="11" t="str">
        <f>GetWeeks(B$1, $A2, WeekCol, WeekdayCol, StartCol, EndCol)</f>
        <v/>
      </c>
      <c r="C2" s="11" t="str">
        <f t="shared" ref="B2:H14" si="0">GetWeeks(C$1, $A2, WeekCol, WeekdayCol, StartCol, EndCol)</f>
        <v>1-17</v>
      </c>
      <c r="D2" s="11" t="str">
        <f t="shared" si="0"/>
        <v/>
      </c>
      <c r="E2" s="11" t="str">
        <f t="shared" si="0"/>
        <v/>
      </c>
      <c r="F2" s="11" t="str">
        <f t="shared" si="0"/>
        <v/>
      </c>
      <c r="G2" s="11" t="str">
        <f t="shared" si="0"/>
        <v/>
      </c>
      <c r="H2" s="11" t="str">
        <f t="shared" si="0"/>
        <v/>
      </c>
      <c r="I2" s="17">
        <v>1</v>
      </c>
      <c r="J2" s="19">
        <f>IF(中间辅助表!B2="",0,LEN(中间辅助表!B2)-LEN(SUBSTITUTE(中间辅助表!B2,",",""))+1)</f>
        <v>0</v>
      </c>
      <c r="K2" s="19">
        <f>IF(中间辅助表!C2="",0,LEN(中间辅助表!C2)-LEN(SUBSTITUTE(中间辅助表!C2,",",""))+1)</f>
        <v>17</v>
      </c>
      <c r="L2" s="19">
        <f>IF(中间辅助表!D2="",0,LEN(中间辅助表!D2)-LEN(SUBSTITUTE(中间辅助表!D2,",",""))+1)</f>
        <v>0</v>
      </c>
      <c r="M2" s="19">
        <f>IF(中间辅助表!E2="",0,LEN(中间辅助表!E2)-LEN(SUBSTITUTE(中间辅助表!E2,",",""))+1)</f>
        <v>0</v>
      </c>
      <c r="N2" s="19">
        <f>IF(中间辅助表!F2="",0,LEN(中间辅助表!F2)-LEN(SUBSTITUTE(中间辅助表!F2,",",""))+1)</f>
        <v>0</v>
      </c>
      <c r="O2" s="19">
        <f>IF(中间辅助表!G2="",0,LEN(中间辅助表!G2)-LEN(SUBSTITUTE(中间辅助表!G2,",",""))+1)</f>
        <v>0</v>
      </c>
      <c r="P2" s="19">
        <f>IF(中间辅助表!H2="",0,LEN(中间辅助表!H2)-LEN(SUBSTITUTE(中间辅助表!H2,",",""))+1)</f>
        <v>0</v>
      </c>
    </row>
    <row r="3" spans="1:22" x14ac:dyDescent="0.25">
      <c r="A3" s="14">
        <v>2</v>
      </c>
      <c r="B3" s="11" t="str">
        <f t="shared" si="0"/>
        <v/>
      </c>
      <c r="C3" s="11" t="str">
        <f t="shared" si="0"/>
        <v>1-17</v>
      </c>
      <c r="D3" s="11" t="str">
        <f t="shared" si="0"/>
        <v/>
      </c>
      <c r="E3" s="11" t="str">
        <f t="shared" si="0"/>
        <v/>
      </c>
      <c r="F3" s="11" t="str">
        <f t="shared" si="0"/>
        <v/>
      </c>
      <c r="G3" s="11" t="str">
        <f t="shared" si="0"/>
        <v/>
      </c>
      <c r="H3" s="11" t="str">
        <f t="shared" si="0"/>
        <v/>
      </c>
      <c r="I3" s="17">
        <v>2</v>
      </c>
      <c r="J3" s="19">
        <f>IF(中间辅助表!B3="",0,LEN(中间辅助表!B3)-LEN(SUBSTITUTE(中间辅助表!B3,",",""))+1)</f>
        <v>0</v>
      </c>
      <c r="K3" s="19">
        <f>IF(中间辅助表!C3="",0,LEN(中间辅助表!C3)-LEN(SUBSTITUTE(中间辅助表!C3,",",""))+1)</f>
        <v>17</v>
      </c>
      <c r="L3" s="19">
        <f>IF(中间辅助表!D3="",0,LEN(中间辅助表!D3)-LEN(SUBSTITUTE(中间辅助表!D3,",",""))+1)</f>
        <v>0</v>
      </c>
      <c r="M3" s="19">
        <f>IF(中间辅助表!E3="",0,LEN(中间辅助表!E3)-LEN(SUBSTITUTE(中间辅助表!E3,",",""))+1)</f>
        <v>0</v>
      </c>
      <c r="N3" s="19">
        <f>IF(中间辅助表!F3="",0,LEN(中间辅助表!F3)-LEN(SUBSTITUTE(中间辅助表!F3,",",""))+1)</f>
        <v>0</v>
      </c>
      <c r="O3" s="19">
        <f>IF(中间辅助表!G3="",0,LEN(中间辅助表!G3)-LEN(SUBSTITUTE(中间辅助表!G3,",",""))+1)</f>
        <v>0</v>
      </c>
      <c r="P3" s="19">
        <f>IF(中间辅助表!H3="",0,LEN(中间辅助表!H3)-LEN(SUBSTITUTE(中间辅助表!H3,",",""))+1)</f>
        <v>0</v>
      </c>
    </row>
    <row r="4" spans="1:22" x14ac:dyDescent="0.25">
      <c r="A4" s="14">
        <v>3</v>
      </c>
      <c r="B4" s="11" t="str">
        <f t="shared" si="0"/>
        <v>7-9,1-3</v>
      </c>
      <c r="C4" s="11" t="str">
        <f t="shared" si="0"/>
        <v>5-9</v>
      </c>
      <c r="D4" s="11" t="str">
        <f t="shared" si="0"/>
        <v>5-15,1-2</v>
      </c>
      <c r="E4" s="11" t="str">
        <f t="shared" si="0"/>
        <v>1-11</v>
      </c>
      <c r="F4" s="11" t="str">
        <f t="shared" si="0"/>
        <v/>
      </c>
      <c r="G4" s="11" t="str">
        <f t="shared" si="0"/>
        <v/>
      </c>
      <c r="H4" s="11" t="str">
        <f t="shared" si="0"/>
        <v/>
      </c>
      <c r="I4" s="17">
        <v>3</v>
      </c>
      <c r="J4" s="19">
        <f>IF(中间辅助表!B4="",0,LEN(中间辅助表!B4)-LEN(SUBSTITUTE(中间辅助表!B4,",",""))+1)</f>
        <v>6</v>
      </c>
      <c r="K4" s="19">
        <f>IF(中间辅助表!C4="",0,LEN(中间辅助表!C4)-LEN(SUBSTITUTE(中间辅助表!C4,",",""))+1)</f>
        <v>5</v>
      </c>
      <c r="L4" s="19">
        <f>IF(中间辅助表!D4="",0,LEN(中间辅助表!D4)-LEN(SUBSTITUTE(中间辅助表!D4,",",""))+1)</f>
        <v>13</v>
      </c>
      <c r="M4" s="19">
        <f>IF(中间辅助表!E4="",0,LEN(中间辅助表!E4)-LEN(SUBSTITUTE(中间辅助表!E4,",",""))+1)</f>
        <v>11</v>
      </c>
      <c r="N4" s="19">
        <f>IF(中间辅助表!F4="",0,LEN(中间辅助表!F4)-LEN(SUBSTITUTE(中间辅助表!F4,",",""))+1)</f>
        <v>0</v>
      </c>
      <c r="O4" s="19">
        <f>IF(中间辅助表!G4="",0,LEN(中间辅助表!G4)-LEN(SUBSTITUTE(中间辅助表!G4,",",""))+1)</f>
        <v>0</v>
      </c>
      <c r="P4" s="19">
        <f>IF(中间辅助表!H4="",0,LEN(中间辅助表!H4)-LEN(SUBSTITUTE(中间辅助表!H4,",",""))+1)</f>
        <v>0</v>
      </c>
    </row>
    <row r="5" spans="1:22" x14ac:dyDescent="0.25">
      <c r="A5" s="14">
        <v>4</v>
      </c>
      <c r="B5" s="11" t="str">
        <f t="shared" si="0"/>
        <v>7-9,1-3</v>
      </c>
      <c r="C5" s="11" t="str">
        <f t="shared" si="0"/>
        <v>5-9</v>
      </c>
      <c r="D5" s="11" t="str">
        <f t="shared" si="0"/>
        <v>5-15,1-2</v>
      </c>
      <c r="E5" s="11" t="str">
        <f t="shared" si="0"/>
        <v>1-11</v>
      </c>
      <c r="F5" s="11" t="str">
        <f t="shared" si="0"/>
        <v/>
      </c>
      <c r="G5" s="11" t="str">
        <f t="shared" si="0"/>
        <v/>
      </c>
      <c r="H5" s="11" t="str">
        <f t="shared" si="0"/>
        <v/>
      </c>
      <c r="I5" s="17">
        <v>4</v>
      </c>
      <c r="J5" s="19">
        <f>IF(中间辅助表!B5="",0,LEN(中间辅助表!B5)-LEN(SUBSTITUTE(中间辅助表!B5,",",""))+1)</f>
        <v>6</v>
      </c>
      <c r="K5" s="19">
        <f>IF(中间辅助表!C5="",0,LEN(中间辅助表!C5)-LEN(SUBSTITUTE(中间辅助表!C5,",",""))+1)</f>
        <v>5</v>
      </c>
      <c r="L5" s="19">
        <f>IF(中间辅助表!D5="",0,LEN(中间辅助表!D5)-LEN(SUBSTITUTE(中间辅助表!D5,",",""))+1)</f>
        <v>13</v>
      </c>
      <c r="M5" s="19">
        <f>IF(中间辅助表!E5="",0,LEN(中间辅助表!E5)-LEN(SUBSTITUTE(中间辅助表!E5,",",""))+1)</f>
        <v>11</v>
      </c>
      <c r="N5" s="19">
        <f>IF(中间辅助表!F5="",0,LEN(中间辅助表!F5)-LEN(SUBSTITUTE(中间辅助表!F5,",",""))+1)</f>
        <v>0</v>
      </c>
      <c r="O5" s="19">
        <f>IF(中间辅助表!G5="",0,LEN(中间辅助表!G5)-LEN(SUBSTITUTE(中间辅助表!G5,",",""))+1)</f>
        <v>0</v>
      </c>
      <c r="P5" s="19">
        <f>IF(中间辅助表!H5="",0,LEN(中间辅助表!H5)-LEN(SUBSTITUTE(中间辅助表!H5,",",""))+1)</f>
        <v>0</v>
      </c>
    </row>
    <row r="6" spans="1:22" x14ac:dyDescent="0.25">
      <c r="A6" s="14">
        <v>5</v>
      </c>
      <c r="B6" s="11" t="str">
        <f t="shared" si="0"/>
        <v>7-9,1-3</v>
      </c>
      <c r="C6" s="11" t="str">
        <f t="shared" si="0"/>
        <v>5-9</v>
      </c>
      <c r="D6" s="11" t="str">
        <f t="shared" si="0"/>
        <v>5-15,1-2</v>
      </c>
      <c r="E6" s="11" t="str">
        <f t="shared" si="0"/>
        <v>1-11</v>
      </c>
      <c r="F6" s="11" t="str">
        <f t="shared" si="0"/>
        <v/>
      </c>
      <c r="G6" s="11" t="str">
        <f t="shared" si="0"/>
        <v/>
      </c>
      <c r="H6" s="11" t="str">
        <f t="shared" si="0"/>
        <v/>
      </c>
      <c r="I6" s="17">
        <v>5</v>
      </c>
      <c r="J6" s="19">
        <f>IF(中间辅助表!B6="",0,LEN(中间辅助表!B6)-LEN(SUBSTITUTE(中间辅助表!B6,",",""))+1)</f>
        <v>6</v>
      </c>
      <c r="K6" s="19">
        <f>IF(中间辅助表!C6="",0,LEN(中间辅助表!C6)-LEN(SUBSTITUTE(中间辅助表!C6,",",""))+1)</f>
        <v>5</v>
      </c>
      <c r="L6" s="19">
        <f>IF(中间辅助表!D6="",0,LEN(中间辅助表!D6)-LEN(SUBSTITUTE(中间辅助表!D6,",",""))+1)</f>
        <v>13</v>
      </c>
      <c r="M6" s="19">
        <f>IF(中间辅助表!E6="",0,LEN(中间辅助表!E6)-LEN(SUBSTITUTE(中间辅助表!E6,",",""))+1)</f>
        <v>11</v>
      </c>
      <c r="N6" s="19">
        <f>IF(中间辅助表!F6="",0,LEN(中间辅助表!F6)-LEN(SUBSTITUTE(中间辅助表!F6,",",""))+1)</f>
        <v>0</v>
      </c>
      <c r="O6" s="19">
        <f>IF(中间辅助表!G6="",0,LEN(中间辅助表!G6)-LEN(SUBSTITUTE(中间辅助表!G6,",",""))+1)</f>
        <v>0</v>
      </c>
      <c r="P6" s="19">
        <f>IF(中间辅助表!H6="",0,LEN(中间辅助表!H6)-LEN(SUBSTITUTE(中间辅助表!H6,",",""))+1)</f>
        <v>0</v>
      </c>
    </row>
    <row r="7" spans="1:22" x14ac:dyDescent="0.25">
      <c r="A7" s="14">
        <v>6</v>
      </c>
      <c r="B7" s="11" t="str">
        <f t="shared" si="0"/>
        <v/>
      </c>
      <c r="C7" s="11" t="str">
        <f t="shared" si="0"/>
        <v>9-12</v>
      </c>
      <c r="D7" s="11" t="str">
        <f t="shared" si="0"/>
        <v/>
      </c>
      <c r="E7" s="11" t="str">
        <f t="shared" si="0"/>
        <v/>
      </c>
      <c r="F7" s="11" t="str">
        <f t="shared" si="0"/>
        <v/>
      </c>
      <c r="G7" s="11" t="str">
        <f t="shared" si="0"/>
        <v/>
      </c>
      <c r="H7" s="11" t="str">
        <f t="shared" si="0"/>
        <v/>
      </c>
      <c r="I7" s="17">
        <v>6</v>
      </c>
      <c r="J7" s="19">
        <f>IF(中间辅助表!B7="",0,LEN(中间辅助表!B7)-LEN(SUBSTITUTE(中间辅助表!B7,",",""))+1)</f>
        <v>0</v>
      </c>
      <c r="K7" s="19">
        <f>IF(中间辅助表!C7="",0,LEN(中间辅助表!C7)-LEN(SUBSTITUTE(中间辅助表!C7,",",""))+1)</f>
        <v>4</v>
      </c>
      <c r="L7" s="19">
        <f>IF(中间辅助表!D7="",0,LEN(中间辅助表!D7)-LEN(SUBSTITUTE(中间辅助表!D7,",",""))+1)</f>
        <v>0</v>
      </c>
      <c r="M7" s="19">
        <f>IF(中间辅助表!E7="",0,LEN(中间辅助表!E7)-LEN(SUBSTITUTE(中间辅助表!E7,",",""))+1)</f>
        <v>0</v>
      </c>
      <c r="N7" s="19">
        <f>IF(中间辅助表!F7="",0,LEN(中间辅助表!F7)-LEN(SUBSTITUTE(中间辅助表!F7,",",""))+1)</f>
        <v>0</v>
      </c>
      <c r="O7" s="19">
        <f>IF(中间辅助表!G7="",0,LEN(中间辅助表!G7)-LEN(SUBSTITUTE(中间辅助表!G7,",",""))+1)</f>
        <v>0</v>
      </c>
      <c r="P7" s="19">
        <f>IF(中间辅助表!H7="",0,LEN(中间辅助表!H7)-LEN(SUBSTITUTE(中间辅助表!H7,",",""))+1)</f>
        <v>0</v>
      </c>
    </row>
    <row r="8" spans="1:22" x14ac:dyDescent="0.25">
      <c r="A8" s="14">
        <v>7</v>
      </c>
      <c r="B8" s="11" t="str">
        <f t="shared" si="0"/>
        <v/>
      </c>
      <c r="C8" s="11" t="str">
        <f t="shared" si="0"/>
        <v>9-12</v>
      </c>
      <c r="D8" s="11" t="str">
        <f t="shared" si="0"/>
        <v/>
      </c>
      <c r="E8" s="11" t="str">
        <f t="shared" si="0"/>
        <v/>
      </c>
      <c r="F8" s="11" t="str">
        <f t="shared" si="0"/>
        <v/>
      </c>
      <c r="G8" s="11" t="str">
        <f t="shared" si="0"/>
        <v/>
      </c>
      <c r="H8" s="11" t="str">
        <f t="shared" si="0"/>
        <v/>
      </c>
      <c r="I8" s="17">
        <v>7</v>
      </c>
      <c r="J8" s="19">
        <f>IF(中间辅助表!B8="",0,LEN(中间辅助表!B8)-LEN(SUBSTITUTE(中间辅助表!B8,",",""))+1)</f>
        <v>0</v>
      </c>
      <c r="K8" s="19">
        <f>IF(中间辅助表!C8="",0,LEN(中间辅助表!C8)-LEN(SUBSTITUTE(中间辅助表!C8,",",""))+1)</f>
        <v>4</v>
      </c>
      <c r="L8" s="19">
        <f>IF(中间辅助表!D8="",0,LEN(中间辅助表!D8)-LEN(SUBSTITUTE(中间辅助表!D8,",",""))+1)</f>
        <v>0</v>
      </c>
      <c r="M8" s="19">
        <f>IF(中间辅助表!E8="",0,LEN(中间辅助表!E8)-LEN(SUBSTITUTE(中间辅助表!E8,",",""))+1)</f>
        <v>0</v>
      </c>
      <c r="N8" s="19">
        <f>IF(中间辅助表!F8="",0,LEN(中间辅助表!F8)-LEN(SUBSTITUTE(中间辅助表!F8,",",""))+1)</f>
        <v>0</v>
      </c>
      <c r="O8" s="19">
        <f>IF(中间辅助表!G8="",0,LEN(中间辅助表!G8)-LEN(SUBSTITUTE(中间辅助表!G8,",",""))+1)</f>
        <v>0</v>
      </c>
      <c r="P8" s="19">
        <f>IF(中间辅助表!H8="",0,LEN(中间辅助表!H8)-LEN(SUBSTITUTE(中间辅助表!H8,",",""))+1)</f>
        <v>0</v>
      </c>
    </row>
    <row r="9" spans="1:22" x14ac:dyDescent="0.25">
      <c r="A9" s="14">
        <v>8</v>
      </c>
      <c r="B9" s="11" t="str">
        <f t="shared" si="0"/>
        <v>5-10</v>
      </c>
      <c r="C9" s="11" t="str">
        <f t="shared" si="0"/>
        <v>9-12,1-2,5-8</v>
      </c>
      <c r="D9" s="11" t="str">
        <f t="shared" si="0"/>
        <v>1-2,5-10</v>
      </c>
      <c r="E9" s="11" t="str">
        <f t="shared" si="0"/>
        <v>7-12</v>
      </c>
      <c r="F9" s="11" t="str">
        <f t="shared" si="0"/>
        <v>1-2,4-9</v>
      </c>
      <c r="G9" s="11" t="str">
        <f t="shared" si="0"/>
        <v/>
      </c>
      <c r="H9" s="11" t="str">
        <f t="shared" si="0"/>
        <v/>
      </c>
      <c r="I9" s="17">
        <v>8</v>
      </c>
      <c r="J9" s="19">
        <f>IF(中间辅助表!B9="",0,LEN(中间辅助表!B9)-LEN(SUBSTITUTE(中间辅助表!B9,",",""))+1)</f>
        <v>6</v>
      </c>
      <c r="K9" s="19">
        <f>IF(中间辅助表!C9="",0,LEN(中间辅助表!C9)-LEN(SUBSTITUTE(中间辅助表!C9,",",""))+1)</f>
        <v>10</v>
      </c>
      <c r="L9" s="19">
        <f>IF(中间辅助表!D9="",0,LEN(中间辅助表!D9)-LEN(SUBSTITUTE(中间辅助表!D9,",",""))+1)</f>
        <v>8</v>
      </c>
      <c r="M9" s="19">
        <f>IF(中间辅助表!E9="",0,LEN(中间辅助表!E9)-LEN(SUBSTITUTE(中间辅助表!E9,",",""))+1)</f>
        <v>6</v>
      </c>
      <c r="N9" s="19">
        <f>IF(中间辅助表!F9="",0,LEN(中间辅助表!F9)-LEN(SUBSTITUTE(中间辅助表!F9,",",""))+1)</f>
        <v>8</v>
      </c>
      <c r="O9" s="19">
        <f>IF(中间辅助表!G9="",0,LEN(中间辅助表!G9)-LEN(SUBSTITUTE(中间辅助表!G9,",",""))+1)</f>
        <v>0</v>
      </c>
      <c r="P9" s="19">
        <f>IF(中间辅助表!H9="",0,LEN(中间辅助表!H9)-LEN(SUBSTITUTE(中间辅助表!H9,",",""))+1)</f>
        <v>0</v>
      </c>
    </row>
    <row r="10" spans="1:22" x14ac:dyDescent="0.25">
      <c r="A10" s="14">
        <v>9</v>
      </c>
      <c r="B10" s="11" t="str">
        <f t="shared" si="0"/>
        <v>5-10</v>
      </c>
      <c r="C10" s="11" t="str">
        <f t="shared" si="0"/>
        <v>9-12,1-2,5-8</v>
      </c>
      <c r="D10" s="11" t="str">
        <f t="shared" si="0"/>
        <v>1-2,5-10</v>
      </c>
      <c r="E10" s="11" t="str">
        <f t="shared" si="0"/>
        <v>7-12</v>
      </c>
      <c r="F10" s="11" t="str">
        <f t="shared" si="0"/>
        <v>1-2,4-9</v>
      </c>
      <c r="G10" s="11" t="str">
        <f t="shared" si="0"/>
        <v/>
      </c>
      <c r="H10" s="11" t="str">
        <f t="shared" si="0"/>
        <v/>
      </c>
      <c r="I10" s="17">
        <v>9</v>
      </c>
      <c r="J10" s="19">
        <f>IF(中间辅助表!B10="",0,LEN(中间辅助表!B10)-LEN(SUBSTITUTE(中间辅助表!B10,",",""))+1)</f>
        <v>6</v>
      </c>
      <c r="K10" s="19">
        <f>IF(中间辅助表!C10="",0,LEN(中间辅助表!C10)-LEN(SUBSTITUTE(中间辅助表!C10,",",""))+1)</f>
        <v>10</v>
      </c>
      <c r="L10" s="19">
        <f>IF(中间辅助表!D10="",0,LEN(中间辅助表!D10)-LEN(SUBSTITUTE(中间辅助表!D10,",",""))+1)</f>
        <v>8</v>
      </c>
      <c r="M10" s="19">
        <f>IF(中间辅助表!E10="",0,LEN(中间辅助表!E10)-LEN(SUBSTITUTE(中间辅助表!E10,",",""))+1)</f>
        <v>6</v>
      </c>
      <c r="N10" s="19">
        <f>IF(中间辅助表!F10="",0,LEN(中间辅助表!F10)-LEN(SUBSTITUTE(中间辅助表!F10,",",""))+1)</f>
        <v>8</v>
      </c>
      <c r="O10" s="19">
        <f>IF(中间辅助表!G10="",0,LEN(中间辅助表!G10)-LEN(SUBSTITUTE(中间辅助表!G10,",",""))+1)</f>
        <v>0</v>
      </c>
      <c r="P10" s="19">
        <f>IF(中间辅助表!H10="",0,LEN(中间辅助表!H10)-LEN(SUBSTITUTE(中间辅助表!H10,",",""))+1)</f>
        <v>0</v>
      </c>
    </row>
    <row r="11" spans="1:22" x14ac:dyDescent="0.25">
      <c r="A11" s="14">
        <v>10</v>
      </c>
      <c r="B11" s="11" t="str">
        <f t="shared" si="0"/>
        <v>5-9</v>
      </c>
      <c r="C11" s="11" t="str">
        <f t="shared" si="0"/>
        <v>9-12,1-2,5-8</v>
      </c>
      <c r="D11" s="11" t="str">
        <f t="shared" si="0"/>
        <v>1-2,5-10</v>
      </c>
      <c r="E11" s="11" t="str">
        <f t="shared" si="0"/>
        <v>7-12</v>
      </c>
      <c r="F11" s="11" t="str">
        <f t="shared" si="0"/>
        <v>1-2,4-9</v>
      </c>
      <c r="G11" s="11" t="str">
        <f t="shared" si="0"/>
        <v/>
      </c>
      <c r="H11" s="11" t="str">
        <f t="shared" si="0"/>
        <v/>
      </c>
      <c r="I11" s="17">
        <v>10</v>
      </c>
      <c r="J11" s="19">
        <f>IF(中间辅助表!B11="",0,LEN(中间辅助表!B11)-LEN(SUBSTITUTE(中间辅助表!B11,",",""))+1)</f>
        <v>5</v>
      </c>
      <c r="K11" s="19">
        <f>IF(中间辅助表!C11="",0,LEN(中间辅助表!C11)-LEN(SUBSTITUTE(中间辅助表!C11,",",""))+1)</f>
        <v>10</v>
      </c>
      <c r="L11" s="19">
        <f>IF(中间辅助表!D11="",0,LEN(中间辅助表!D11)-LEN(SUBSTITUTE(中间辅助表!D11,",",""))+1)</f>
        <v>8</v>
      </c>
      <c r="M11" s="19">
        <f>IF(中间辅助表!E11="",0,LEN(中间辅助表!E11)-LEN(SUBSTITUTE(中间辅助表!E11,",",""))+1)</f>
        <v>6</v>
      </c>
      <c r="N11" s="19">
        <f>IF(中间辅助表!F11="",0,LEN(中间辅助表!F11)-LEN(SUBSTITUTE(中间辅助表!F11,",",""))+1)</f>
        <v>8</v>
      </c>
      <c r="O11" s="19">
        <f>IF(中间辅助表!G11="",0,LEN(中间辅助表!G11)-LEN(SUBSTITUTE(中间辅助表!G11,",",""))+1)</f>
        <v>0</v>
      </c>
      <c r="P11" s="19">
        <f>IF(中间辅助表!H11="",0,LEN(中间辅助表!H11)-LEN(SUBSTITUTE(中间辅助表!H11,",",""))+1)</f>
        <v>0</v>
      </c>
    </row>
    <row r="12" spans="1:22" x14ac:dyDescent="0.25">
      <c r="A12" s="14">
        <v>11</v>
      </c>
      <c r="B12" s="11" t="str">
        <f t="shared" si="0"/>
        <v/>
      </c>
      <c r="C12" s="11" t="str">
        <f t="shared" si="0"/>
        <v>9-12</v>
      </c>
      <c r="D12" s="11" t="str">
        <f t="shared" si="0"/>
        <v/>
      </c>
      <c r="E12" s="11" t="str">
        <f t="shared" si="0"/>
        <v/>
      </c>
      <c r="F12" s="11" t="str">
        <f t="shared" si="0"/>
        <v/>
      </c>
      <c r="G12" s="11" t="str">
        <f t="shared" si="0"/>
        <v/>
      </c>
      <c r="H12" s="11" t="str">
        <f t="shared" si="0"/>
        <v/>
      </c>
      <c r="I12" s="17">
        <v>11</v>
      </c>
      <c r="J12" s="19">
        <f>IF(中间辅助表!B12="",0,LEN(中间辅助表!B12)-LEN(SUBSTITUTE(中间辅助表!B12,",",""))+1)</f>
        <v>0</v>
      </c>
      <c r="K12" s="19">
        <f>IF(中间辅助表!C12="",0,LEN(中间辅助表!C12)-LEN(SUBSTITUTE(中间辅助表!C12,",",""))+1)</f>
        <v>4</v>
      </c>
      <c r="L12" s="19">
        <f>IF(中间辅助表!D12="",0,LEN(中间辅助表!D12)-LEN(SUBSTITUTE(中间辅助表!D12,",",""))+1)</f>
        <v>0</v>
      </c>
      <c r="M12" s="19">
        <f>IF(中间辅助表!E12="",0,LEN(中间辅助表!E12)-LEN(SUBSTITUTE(中间辅助表!E12,",",""))+1)</f>
        <v>0</v>
      </c>
      <c r="N12" s="19">
        <f>IF(中间辅助表!F12="",0,LEN(中间辅助表!F12)-LEN(SUBSTITUTE(中间辅助表!F12,",",""))+1)</f>
        <v>0</v>
      </c>
      <c r="O12" s="19">
        <f>IF(中间辅助表!G12="",0,LEN(中间辅助表!G12)-LEN(SUBSTITUTE(中间辅助表!G12,",",""))+1)</f>
        <v>0</v>
      </c>
      <c r="P12" s="19">
        <f>IF(中间辅助表!H12="",0,LEN(中间辅助表!H12)-LEN(SUBSTITUTE(中间辅助表!H12,",",""))+1)</f>
        <v>0</v>
      </c>
    </row>
    <row r="13" spans="1:22" x14ac:dyDescent="0.25">
      <c r="A13" s="14">
        <v>12</v>
      </c>
      <c r="B13" s="11" t="str">
        <f t="shared" si="0"/>
        <v/>
      </c>
      <c r="C13" s="11" t="str">
        <f t="shared" si="0"/>
        <v>9-12</v>
      </c>
      <c r="D13" s="11" t="str">
        <f t="shared" si="0"/>
        <v/>
      </c>
      <c r="E13" s="11" t="str">
        <f t="shared" si="0"/>
        <v/>
      </c>
      <c r="F13" s="11" t="str">
        <f t="shared" si="0"/>
        <v/>
      </c>
      <c r="G13" s="11" t="str">
        <f t="shared" si="0"/>
        <v/>
      </c>
      <c r="H13" s="11" t="str">
        <f t="shared" si="0"/>
        <v/>
      </c>
      <c r="I13" s="17">
        <v>12</v>
      </c>
      <c r="J13" s="19">
        <f>IF(中间辅助表!B13="",0,LEN(中间辅助表!B13)-LEN(SUBSTITUTE(中间辅助表!B13,",",""))+1)</f>
        <v>0</v>
      </c>
      <c r="K13" s="19">
        <f>IF(中间辅助表!C13="",0,LEN(中间辅助表!C13)-LEN(SUBSTITUTE(中间辅助表!C13,",",""))+1)</f>
        <v>4</v>
      </c>
      <c r="L13" s="19">
        <f>IF(中间辅助表!D13="",0,LEN(中间辅助表!D13)-LEN(SUBSTITUTE(中间辅助表!D13,",",""))+1)</f>
        <v>0</v>
      </c>
      <c r="M13" s="19">
        <f>IF(中间辅助表!E13="",0,LEN(中间辅助表!E13)-LEN(SUBSTITUTE(中间辅助表!E13,",",""))+1)</f>
        <v>0</v>
      </c>
      <c r="N13" s="19">
        <f>IF(中间辅助表!F13="",0,LEN(中间辅助表!F13)-LEN(SUBSTITUTE(中间辅助表!F13,",",""))+1)</f>
        <v>0</v>
      </c>
      <c r="O13" s="19">
        <f>IF(中间辅助表!G13="",0,LEN(中间辅助表!G13)-LEN(SUBSTITUTE(中间辅助表!G13,",",""))+1)</f>
        <v>0</v>
      </c>
      <c r="P13" s="19">
        <f>IF(中间辅助表!H13="",0,LEN(中间辅助表!H13)-LEN(SUBSTITUTE(中间辅助表!H13,",",""))+1)</f>
        <v>0</v>
      </c>
    </row>
    <row r="14" spans="1:22" x14ac:dyDescent="0.25">
      <c r="A14" s="14">
        <v>13</v>
      </c>
      <c r="B14" s="11" t="str">
        <f t="shared" si="0"/>
        <v/>
      </c>
      <c r="C14" s="11" t="str">
        <f t="shared" si="0"/>
        <v>9-12</v>
      </c>
      <c r="D14" s="11" t="str">
        <f t="shared" si="0"/>
        <v/>
      </c>
      <c r="E14" s="11" t="str">
        <f t="shared" si="0"/>
        <v/>
      </c>
      <c r="F14" s="11" t="str">
        <f t="shared" si="0"/>
        <v/>
      </c>
      <c r="G14" s="11" t="str">
        <f t="shared" si="0"/>
        <v/>
      </c>
      <c r="H14" s="11" t="str">
        <f t="shared" si="0"/>
        <v/>
      </c>
      <c r="I14" s="17">
        <v>13</v>
      </c>
      <c r="J14" s="19">
        <f>IF(中间辅助表!B14="",0,LEN(中间辅助表!B14)-LEN(SUBSTITUTE(中间辅助表!B14,",",""))+1)</f>
        <v>0</v>
      </c>
      <c r="K14" s="19">
        <f>IF(中间辅助表!C14="",0,LEN(中间辅助表!C14)-LEN(SUBSTITUTE(中间辅助表!C14,",",""))+1)</f>
        <v>4</v>
      </c>
      <c r="L14" s="19">
        <f>IF(中间辅助表!D14="",0,LEN(中间辅助表!D14)-LEN(SUBSTITUTE(中间辅助表!D14,",",""))+1)</f>
        <v>0</v>
      </c>
      <c r="M14" s="19">
        <f>IF(中间辅助表!E14="",0,LEN(中间辅助表!E14)-LEN(SUBSTITUTE(中间辅助表!E14,",",""))+1)</f>
        <v>0</v>
      </c>
      <c r="N14" s="19">
        <f>IF(中间辅助表!F14="",0,LEN(中间辅助表!F14)-LEN(SUBSTITUTE(中间辅助表!F14,",",""))+1)</f>
        <v>0</v>
      </c>
      <c r="O14" s="19">
        <f>IF(中间辅助表!G14="",0,LEN(中间辅助表!G14)-LEN(SUBSTITUTE(中间辅助表!G14,",",""))+1)</f>
        <v>0</v>
      </c>
      <c r="P14" s="19">
        <f>IF(中间辅助表!H14="",0,LEN(中间辅助表!H14)-LEN(SUBSTITUTE(中间辅助表!H14,",",""))+1)</f>
        <v>0</v>
      </c>
    </row>
    <row r="15" spans="1:22" ht="14.4" thickBot="1" x14ac:dyDescent="0.3"/>
    <row r="16" spans="1:22" ht="14.4" thickBot="1" x14ac:dyDescent="0.3">
      <c r="A16" s="14" t="s">
        <v>6</v>
      </c>
      <c r="B16" s="25" t="s">
        <v>0</v>
      </c>
      <c r="C16" s="25" t="s">
        <v>1</v>
      </c>
      <c r="D16" s="25" t="s">
        <v>2</v>
      </c>
      <c r="E16" s="25" t="s">
        <v>3</v>
      </c>
      <c r="F16" s="25" t="s">
        <v>4</v>
      </c>
      <c r="G16" s="25" t="s">
        <v>55</v>
      </c>
      <c r="H16" s="25" t="s">
        <v>56</v>
      </c>
      <c r="I16" s="30" t="s">
        <v>6</v>
      </c>
      <c r="J16" s="18" t="s">
        <v>0</v>
      </c>
      <c r="K16" s="18" t="s">
        <v>1</v>
      </c>
      <c r="L16" s="18" t="s">
        <v>2</v>
      </c>
      <c r="M16" s="18" t="s">
        <v>3</v>
      </c>
      <c r="N16" s="18" t="s">
        <v>4</v>
      </c>
      <c r="O16" s="18" t="s">
        <v>55</v>
      </c>
      <c r="P16" s="18" t="s">
        <v>56</v>
      </c>
      <c r="Q16" s="2"/>
      <c r="R16" s="33" t="s">
        <v>6</v>
      </c>
      <c r="S16" s="34" t="s">
        <v>5</v>
      </c>
      <c r="T16" s="2"/>
    </row>
    <row r="17" spans="1:19" x14ac:dyDescent="0.25">
      <c r="A17" s="14">
        <v>1</v>
      </c>
      <c r="B17" s="11" t="str">
        <f>GetPeriods(B$16, $A17, WeekCol, WeekdayCol, StartCol, EndCol)</f>
        <v>3-5</v>
      </c>
      <c r="C17" s="11" t="str">
        <f>GetPeriods(C$16, $A17, WeekCol, WeekdayCol, StartCol, EndCol)</f>
        <v>8-10,1-2</v>
      </c>
      <c r="D17" s="11" t="str">
        <f>GetPeriods(D$16, $A17, WeekCol, WeekdayCol, StartCol, EndCol)</f>
        <v>3-5,8-10</v>
      </c>
      <c r="E17" s="11" t="str">
        <f>GetPeriods(E$16, $A17, WeekCol, WeekdayCol, StartCol, EndCol)</f>
        <v>3-5</v>
      </c>
      <c r="F17" s="11" t="str">
        <f>GetPeriods(F$16, $A17, WeekCol, WeekdayCol, StartCol, EndCol)</f>
        <v>8-10</v>
      </c>
      <c r="G17" s="11" t="str">
        <f>GetPeriods(G$16, $A17, WeekCol, WeekdayCol, StartCol, EndCol)</f>
        <v/>
      </c>
      <c r="H17" s="11" t="str">
        <f>GetPeriods(H$16, $A17, WeekCol, WeekdayCol, StartCol, EndCol)</f>
        <v/>
      </c>
      <c r="I17" s="30">
        <v>1</v>
      </c>
      <c r="J17" s="32">
        <f>IF(中间辅助表!B17="",0,LEN(中间辅助表!B17)-LEN(SUBSTITUTE(中间辅助表!B17,",",""))+1)</f>
        <v>3</v>
      </c>
      <c r="K17" s="32">
        <f>IF(中间辅助表!C17="",0,LEN(中间辅助表!C17)-LEN(SUBSTITUTE(中间辅助表!C17,",",""))+1)</f>
        <v>5</v>
      </c>
      <c r="L17" s="32">
        <f>IF(中间辅助表!D17="",0,LEN(中间辅助表!D17)-LEN(SUBSTITUTE(中间辅助表!D17,",",""))+1)</f>
        <v>6</v>
      </c>
      <c r="M17" s="32">
        <f>IF(中间辅助表!E17="",0,LEN(中间辅助表!E17)-LEN(SUBSTITUTE(中间辅助表!E17,",",""))+1)</f>
        <v>3</v>
      </c>
      <c r="N17" s="32">
        <f>IF(中间辅助表!F17="",0,LEN(中间辅助表!F17)-LEN(SUBSTITUTE(中间辅助表!F17,",",""))+1)</f>
        <v>3</v>
      </c>
      <c r="O17" s="32">
        <f>IF(中间辅助表!G17="",0,LEN(中间辅助表!G17)-LEN(SUBSTITUTE(中间辅助表!G17,",",""))+1)</f>
        <v>0</v>
      </c>
      <c r="P17" s="32">
        <f>IF(中间辅助表!H17="",0,LEN(中间辅助表!H17)-LEN(SUBSTITUTE(中间辅助表!H17,",",""))+1)</f>
        <v>0</v>
      </c>
      <c r="R17" s="22">
        <v>1</v>
      </c>
      <c r="S17" s="4">
        <f>SUMPRODUCT(1* ISNUMBER(SEARCH(","&amp;$R17&amp;",", ","&amp;中间辅助表!$B$2:$F$14&amp;",")))</f>
        <v>20</v>
      </c>
    </row>
    <row r="18" spans="1:19" x14ac:dyDescent="0.25">
      <c r="A18" s="14">
        <v>2</v>
      </c>
      <c r="B18" s="11" t="str">
        <f>GetPeriods(B$16, $A18, WeekCol, WeekdayCol, StartCol, EndCol)</f>
        <v>3-5</v>
      </c>
      <c r="C18" s="11" t="str">
        <f>GetPeriods(C$16, $A18, WeekCol, WeekdayCol, StartCol, EndCol)</f>
        <v>8-10,1-2</v>
      </c>
      <c r="D18" s="11" t="str">
        <f>GetPeriods(D$16, $A18, WeekCol, WeekdayCol, StartCol, EndCol)</f>
        <v>3-5,8-10</v>
      </c>
      <c r="E18" s="11" t="str">
        <f>GetPeriods(E$16, $A18, WeekCol, WeekdayCol, StartCol, EndCol)</f>
        <v>3-5</v>
      </c>
      <c r="F18" s="11" t="str">
        <f>GetPeriods(F$16, $A18, WeekCol, WeekdayCol, StartCol, EndCol)</f>
        <v>8-10</v>
      </c>
      <c r="G18" s="11" t="str">
        <f>GetPeriods(G$16, $A18, WeekCol, WeekdayCol, StartCol, EndCol)</f>
        <v/>
      </c>
      <c r="H18" s="11" t="str">
        <f>GetPeriods(H$16, $A18, WeekCol, WeekdayCol, StartCol, EndCol)</f>
        <v/>
      </c>
      <c r="I18" s="30">
        <v>2</v>
      </c>
      <c r="J18" s="32">
        <f>IF(中间辅助表!B18="",0,LEN(中间辅助表!B18)-LEN(SUBSTITUTE(中间辅助表!B18,",",""))+1)</f>
        <v>3</v>
      </c>
      <c r="K18" s="32">
        <f>IF(中间辅助表!C18="",0,LEN(中间辅助表!C18)-LEN(SUBSTITUTE(中间辅助表!C18,",",""))+1)</f>
        <v>5</v>
      </c>
      <c r="L18" s="32">
        <f>IF(中间辅助表!D18="",0,LEN(中间辅助表!D18)-LEN(SUBSTITUTE(中间辅助表!D18,",",""))+1)</f>
        <v>6</v>
      </c>
      <c r="M18" s="32">
        <f>IF(中间辅助表!E18="",0,LEN(中间辅助表!E18)-LEN(SUBSTITUTE(中间辅助表!E18,",",""))+1)</f>
        <v>3</v>
      </c>
      <c r="N18" s="32">
        <f>IF(中间辅助表!F18="",0,LEN(中间辅助表!F18)-LEN(SUBSTITUTE(中间辅助表!F18,",",""))+1)</f>
        <v>3</v>
      </c>
      <c r="O18" s="32">
        <f>IF(中间辅助表!G18="",0,LEN(中间辅助表!G18)-LEN(SUBSTITUTE(中间辅助表!G18,",",""))+1)</f>
        <v>0</v>
      </c>
      <c r="P18" s="32">
        <f>IF(中间辅助表!H18="",0,LEN(中间辅助表!H18)-LEN(SUBSTITUTE(中间辅助表!H18,",",""))+1)</f>
        <v>0</v>
      </c>
      <c r="R18" s="22">
        <v>2</v>
      </c>
      <c r="S18" s="4">
        <f>SUMPRODUCT(1* ISNUMBER(SEARCH(","&amp;$R18&amp;",", ","&amp;中间辅助表!$B$2:$F$14&amp;",")))</f>
        <v>20</v>
      </c>
    </row>
    <row r="19" spans="1:19" x14ac:dyDescent="0.25">
      <c r="A19" s="14">
        <v>3</v>
      </c>
      <c r="B19" s="11" t="str">
        <f>GetPeriods(B$16, $A19, WeekCol, WeekdayCol, StartCol, EndCol)</f>
        <v>3-5</v>
      </c>
      <c r="C19" s="11" t="str">
        <f>GetPeriods(C$16, $A19, WeekCol, WeekdayCol, StartCol, EndCol)</f>
        <v>1-2</v>
      </c>
      <c r="D19" s="11" t="str">
        <f>GetPeriods(D$16, $A19, WeekCol, WeekdayCol, StartCol, EndCol)</f>
        <v/>
      </c>
      <c r="E19" s="11" t="str">
        <f>GetPeriods(E$16, $A19, WeekCol, WeekdayCol, StartCol, EndCol)</f>
        <v>3-5</v>
      </c>
      <c r="F19" s="11" t="str">
        <f>GetPeriods(F$16, $A19, WeekCol, WeekdayCol, StartCol, EndCol)</f>
        <v/>
      </c>
      <c r="G19" s="11" t="str">
        <f>GetPeriods(G$16, $A19, WeekCol, WeekdayCol, StartCol, EndCol)</f>
        <v/>
      </c>
      <c r="H19" s="11" t="str">
        <f>GetPeriods(H$16, $A19, WeekCol, WeekdayCol, StartCol, EndCol)</f>
        <v/>
      </c>
      <c r="I19" s="30">
        <v>3</v>
      </c>
      <c r="J19" s="32">
        <f>IF(中间辅助表!B19="",0,LEN(中间辅助表!B19)-LEN(SUBSTITUTE(中间辅助表!B19,",",""))+1)</f>
        <v>3</v>
      </c>
      <c r="K19" s="32">
        <f>IF(中间辅助表!C19="",0,LEN(中间辅助表!C19)-LEN(SUBSTITUTE(中间辅助表!C19,",",""))+1)</f>
        <v>2</v>
      </c>
      <c r="L19" s="32">
        <f>IF(中间辅助表!D19="",0,LEN(中间辅助表!D19)-LEN(SUBSTITUTE(中间辅助表!D19,",",""))+1)</f>
        <v>0</v>
      </c>
      <c r="M19" s="32">
        <f>IF(中间辅助表!E19="",0,LEN(中间辅助表!E19)-LEN(SUBSTITUTE(中间辅助表!E19,",",""))+1)</f>
        <v>3</v>
      </c>
      <c r="N19" s="32">
        <f>IF(中间辅助表!F19="",0,LEN(中间辅助表!F19)-LEN(SUBSTITUTE(中间辅助表!F19,",",""))+1)</f>
        <v>0</v>
      </c>
      <c r="O19" s="32">
        <f>IF(中间辅助表!G19="",0,LEN(中间辅助表!G19)-LEN(SUBSTITUTE(中间辅助表!G19,",",""))+1)</f>
        <v>0</v>
      </c>
      <c r="P19" s="32">
        <f>IF(中间辅助表!H19="",0,LEN(中间辅助表!H19)-LEN(SUBSTITUTE(中间辅助表!H19,",",""))+1)</f>
        <v>0</v>
      </c>
      <c r="R19" s="22">
        <v>3</v>
      </c>
      <c r="S19" s="4">
        <f>SUMPRODUCT(1* ISNUMBER(SEARCH(","&amp;$R19&amp;",", ","&amp;中间辅助表!$B$2:$F$14&amp;",")))</f>
        <v>8</v>
      </c>
    </row>
    <row r="20" spans="1:19" x14ac:dyDescent="0.25">
      <c r="A20" s="14">
        <v>4</v>
      </c>
      <c r="B20" s="11" t="str">
        <f>GetPeriods(B$16, $A20, WeekCol, WeekdayCol, StartCol, EndCol)</f>
        <v/>
      </c>
      <c r="C20" s="11" t="str">
        <f>GetPeriods(C$16, $A20, WeekCol, WeekdayCol, StartCol, EndCol)</f>
        <v>1-2</v>
      </c>
      <c r="D20" s="11" t="str">
        <f>GetPeriods(D$16, $A20, WeekCol, WeekdayCol, StartCol, EndCol)</f>
        <v/>
      </c>
      <c r="E20" s="11" t="str">
        <f>GetPeriods(E$16, $A20, WeekCol, WeekdayCol, StartCol, EndCol)</f>
        <v>3-5</v>
      </c>
      <c r="F20" s="11" t="str">
        <f>GetPeriods(F$16, $A20, WeekCol, WeekdayCol, StartCol, EndCol)</f>
        <v>8-10</v>
      </c>
      <c r="G20" s="11" t="str">
        <f>GetPeriods(G$16, $A20, WeekCol, WeekdayCol, StartCol, EndCol)</f>
        <v/>
      </c>
      <c r="H20" s="11" t="str">
        <f>GetPeriods(H$16, $A20, WeekCol, WeekdayCol, StartCol, EndCol)</f>
        <v/>
      </c>
      <c r="I20" s="30">
        <v>4</v>
      </c>
      <c r="J20" s="32">
        <f>IF(中间辅助表!B20="",0,LEN(中间辅助表!B20)-LEN(SUBSTITUTE(中间辅助表!B20,",",""))+1)</f>
        <v>0</v>
      </c>
      <c r="K20" s="32">
        <f>IF(中间辅助表!C20="",0,LEN(中间辅助表!C20)-LEN(SUBSTITUTE(中间辅助表!C20,",",""))+1)</f>
        <v>2</v>
      </c>
      <c r="L20" s="32">
        <f>IF(中间辅助表!D20="",0,LEN(中间辅助表!D20)-LEN(SUBSTITUTE(中间辅助表!D20,",",""))+1)</f>
        <v>0</v>
      </c>
      <c r="M20" s="32">
        <f>IF(中间辅助表!E20="",0,LEN(中间辅助表!E20)-LEN(SUBSTITUTE(中间辅助表!E20,",",""))+1)</f>
        <v>3</v>
      </c>
      <c r="N20" s="32">
        <f>IF(中间辅助表!F20="",0,LEN(中间辅助表!F20)-LEN(SUBSTITUTE(中间辅助表!F20,",",""))+1)</f>
        <v>3</v>
      </c>
      <c r="O20" s="32">
        <f>IF(中间辅助表!G20="",0,LEN(中间辅助表!G20)-LEN(SUBSTITUTE(中间辅助表!G20,",",""))+1)</f>
        <v>0</v>
      </c>
      <c r="P20" s="32">
        <f>IF(中间辅助表!H20="",0,LEN(中间辅助表!H20)-LEN(SUBSTITUTE(中间辅助表!H20,",",""))+1)</f>
        <v>0</v>
      </c>
      <c r="R20" s="22">
        <v>4</v>
      </c>
      <c r="S20" s="4">
        <f>SUMPRODUCT(1* ISNUMBER(SEARCH(","&amp;$R20&amp;",", ","&amp;中间辅助表!$B$2:$F$14&amp;",")))</f>
        <v>8</v>
      </c>
    </row>
    <row r="21" spans="1:19" x14ac:dyDescent="0.25">
      <c r="A21" s="14">
        <v>5</v>
      </c>
      <c r="B21" s="11" t="str">
        <f>GetPeriods(B$16, $A21, WeekCol, WeekdayCol, StartCol, EndCol)</f>
        <v>10,8-9</v>
      </c>
      <c r="C21" s="11" t="str">
        <f>GetPeriods(C$16, $A21, WeekCol, WeekdayCol, StartCol, EndCol)</f>
        <v>3-5,8-10,1-2</v>
      </c>
      <c r="D21" s="11" t="str">
        <f>GetPeriods(D$16, $A21, WeekCol, WeekdayCol, StartCol, EndCol)</f>
        <v>3-5,8-10</v>
      </c>
      <c r="E21" s="11" t="str">
        <f>GetPeriods(E$16, $A21, WeekCol, WeekdayCol, StartCol, EndCol)</f>
        <v>3-5</v>
      </c>
      <c r="F21" s="11" t="str">
        <f>GetPeriods(F$16, $A21, WeekCol, WeekdayCol, StartCol, EndCol)</f>
        <v>8-10</v>
      </c>
      <c r="G21" s="11" t="str">
        <f>GetPeriods(G$16, $A21, WeekCol, WeekdayCol, StartCol, EndCol)</f>
        <v/>
      </c>
      <c r="H21" s="11" t="str">
        <f>GetPeriods(H$16, $A21, WeekCol, WeekdayCol, StartCol, EndCol)</f>
        <v/>
      </c>
      <c r="I21" s="30">
        <v>5</v>
      </c>
      <c r="J21" s="32">
        <f>IF(中间辅助表!B21="",0,LEN(中间辅助表!B21)-LEN(SUBSTITUTE(中间辅助表!B21,",",""))+1)</f>
        <v>3</v>
      </c>
      <c r="K21" s="32">
        <f>IF(中间辅助表!C21="",0,LEN(中间辅助表!C21)-LEN(SUBSTITUTE(中间辅助表!C21,",",""))+1)</f>
        <v>8</v>
      </c>
      <c r="L21" s="32">
        <f>IF(中间辅助表!D21="",0,LEN(中间辅助表!D21)-LEN(SUBSTITUTE(中间辅助表!D21,",",""))+1)</f>
        <v>6</v>
      </c>
      <c r="M21" s="32">
        <f>IF(中间辅助表!E21="",0,LEN(中间辅助表!E21)-LEN(SUBSTITUTE(中间辅助表!E21,",",""))+1)</f>
        <v>3</v>
      </c>
      <c r="N21" s="32">
        <f>IF(中间辅助表!F21="",0,LEN(中间辅助表!F21)-LEN(SUBSTITUTE(中间辅助表!F21,",",""))+1)</f>
        <v>3</v>
      </c>
      <c r="O21" s="32">
        <f>IF(中间辅助表!G21="",0,LEN(中间辅助表!G21)-LEN(SUBSTITUTE(中间辅助表!G21,",",""))+1)</f>
        <v>0</v>
      </c>
      <c r="P21" s="32">
        <f>IF(中间辅助表!H21="",0,LEN(中间辅助表!H21)-LEN(SUBSTITUTE(中间辅助表!H21,",",""))+1)</f>
        <v>0</v>
      </c>
      <c r="R21" s="22">
        <v>5</v>
      </c>
      <c r="S21" s="4">
        <f>SUMPRODUCT(1* ISNUMBER(SEARCH(","&amp;$R21&amp;",", ","&amp;中间辅助表!$B$2:$F$14&amp;",")))</f>
        <v>23</v>
      </c>
    </row>
    <row r="22" spans="1:19" x14ac:dyDescent="0.25">
      <c r="A22" s="14">
        <v>6</v>
      </c>
      <c r="B22" s="11" t="str">
        <f>GetPeriods(B$16, $A22, WeekCol, WeekdayCol, StartCol, EndCol)</f>
        <v>10,8-9</v>
      </c>
      <c r="C22" s="11" t="str">
        <f>GetPeriods(C$16, $A22, WeekCol, WeekdayCol, StartCol, EndCol)</f>
        <v>3-5,8-10,1-2</v>
      </c>
      <c r="D22" s="11" t="str">
        <f>GetPeriods(D$16, $A22, WeekCol, WeekdayCol, StartCol, EndCol)</f>
        <v>3-5,8-10</v>
      </c>
      <c r="E22" s="11" t="str">
        <f>GetPeriods(E$16, $A22, WeekCol, WeekdayCol, StartCol, EndCol)</f>
        <v>3-5</v>
      </c>
      <c r="F22" s="11" t="str">
        <f>GetPeriods(F$16, $A22, WeekCol, WeekdayCol, StartCol, EndCol)</f>
        <v>8-10</v>
      </c>
      <c r="G22" s="11" t="str">
        <f>GetPeriods(G$16, $A22, WeekCol, WeekdayCol, StartCol, EndCol)</f>
        <v/>
      </c>
      <c r="H22" s="11" t="str">
        <f>GetPeriods(H$16, $A22, WeekCol, WeekdayCol, StartCol, EndCol)</f>
        <v/>
      </c>
      <c r="I22" s="30">
        <v>6</v>
      </c>
      <c r="J22" s="32">
        <f>IF(中间辅助表!B22="",0,LEN(中间辅助表!B22)-LEN(SUBSTITUTE(中间辅助表!B22,",",""))+1)</f>
        <v>3</v>
      </c>
      <c r="K22" s="32">
        <f>IF(中间辅助表!C22="",0,LEN(中间辅助表!C22)-LEN(SUBSTITUTE(中间辅助表!C22,",",""))+1)</f>
        <v>8</v>
      </c>
      <c r="L22" s="32">
        <f>IF(中间辅助表!D22="",0,LEN(中间辅助表!D22)-LEN(SUBSTITUTE(中间辅助表!D22,",",""))+1)</f>
        <v>6</v>
      </c>
      <c r="M22" s="32">
        <f>IF(中间辅助表!E22="",0,LEN(中间辅助表!E22)-LEN(SUBSTITUTE(中间辅助表!E22,",",""))+1)</f>
        <v>3</v>
      </c>
      <c r="N22" s="32">
        <f>IF(中间辅助表!F22="",0,LEN(中间辅助表!F22)-LEN(SUBSTITUTE(中间辅助表!F22,",",""))+1)</f>
        <v>3</v>
      </c>
      <c r="O22" s="32">
        <f>IF(中间辅助表!G22="",0,LEN(中间辅助表!G22)-LEN(SUBSTITUTE(中间辅助表!G22,",",""))+1)</f>
        <v>0</v>
      </c>
      <c r="P22" s="32">
        <f>IF(中间辅助表!H22="",0,LEN(中间辅助表!H22)-LEN(SUBSTITUTE(中间辅助表!H22,",",""))+1)</f>
        <v>0</v>
      </c>
      <c r="R22" s="22">
        <v>6</v>
      </c>
      <c r="S22" s="4">
        <f>SUMPRODUCT(1* ISNUMBER(SEARCH(","&amp;$R22&amp;",", ","&amp;中间辅助表!$B$2:$F$14&amp;",")))</f>
        <v>23</v>
      </c>
    </row>
    <row r="23" spans="1:19" x14ac:dyDescent="0.25">
      <c r="A23" s="14">
        <v>7</v>
      </c>
      <c r="B23" s="11" t="str">
        <f>GetPeriods(B$16, $A23, WeekCol, WeekdayCol, StartCol, EndCol)</f>
        <v>3-5,10,8-9</v>
      </c>
      <c r="C23" s="11" t="str">
        <f>GetPeriods(C$16, $A23, WeekCol, WeekdayCol, StartCol, EndCol)</f>
        <v>3-5,8-10,1-2</v>
      </c>
      <c r="D23" s="11" t="str">
        <f>GetPeriods(D$16, $A23, WeekCol, WeekdayCol, StartCol, EndCol)</f>
        <v>3-5,8-10</v>
      </c>
      <c r="E23" s="11" t="str">
        <f>GetPeriods(E$16, $A23, WeekCol, WeekdayCol, StartCol, EndCol)</f>
        <v>8-10,3-5</v>
      </c>
      <c r="F23" s="11" t="str">
        <f>GetPeriods(F$16, $A23, WeekCol, WeekdayCol, StartCol, EndCol)</f>
        <v>8-10</v>
      </c>
      <c r="G23" s="11" t="str">
        <f>GetPeriods(G$16, $A23, WeekCol, WeekdayCol, StartCol, EndCol)</f>
        <v/>
      </c>
      <c r="H23" s="11" t="str">
        <f>GetPeriods(H$16, $A23, WeekCol, WeekdayCol, StartCol, EndCol)</f>
        <v/>
      </c>
      <c r="I23" s="30">
        <v>7</v>
      </c>
      <c r="J23" s="32">
        <f>IF(中间辅助表!B23="",0,LEN(中间辅助表!B23)-LEN(SUBSTITUTE(中间辅助表!B23,",",""))+1)</f>
        <v>6</v>
      </c>
      <c r="K23" s="32">
        <f>IF(中间辅助表!C23="",0,LEN(中间辅助表!C23)-LEN(SUBSTITUTE(中间辅助表!C23,",",""))+1)</f>
        <v>8</v>
      </c>
      <c r="L23" s="32">
        <f>IF(中间辅助表!D23="",0,LEN(中间辅助表!D23)-LEN(SUBSTITUTE(中间辅助表!D23,",",""))+1)</f>
        <v>6</v>
      </c>
      <c r="M23" s="32">
        <f>IF(中间辅助表!E23="",0,LEN(中间辅助表!E23)-LEN(SUBSTITUTE(中间辅助表!E23,",",""))+1)</f>
        <v>6</v>
      </c>
      <c r="N23" s="32">
        <f>IF(中间辅助表!F23="",0,LEN(中间辅助表!F23)-LEN(SUBSTITUTE(中间辅助表!F23,",",""))+1)</f>
        <v>3</v>
      </c>
      <c r="O23" s="32">
        <f>IF(中间辅助表!G23="",0,LEN(中间辅助表!G23)-LEN(SUBSTITUTE(中间辅助表!G23,",",""))+1)</f>
        <v>0</v>
      </c>
      <c r="P23" s="32">
        <f>IF(中间辅助表!H23="",0,LEN(中间辅助表!H23)-LEN(SUBSTITUTE(中间辅助表!H23,",",""))+1)</f>
        <v>0</v>
      </c>
      <c r="R23" s="22">
        <v>7</v>
      </c>
      <c r="S23" s="4">
        <f>SUMPRODUCT(1* ISNUMBER(SEARCH(","&amp;$R23&amp;",", ","&amp;中间辅助表!$B$2:$F$14&amp;",")))</f>
        <v>29</v>
      </c>
    </row>
    <row r="24" spans="1:19" x14ac:dyDescent="0.25">
      <c r="A24" s="14">
        <v>8</v>
      </c>
      <c r="B24" s="11" t="str">
        <f>GetPeriods(B$16, $A24, WeekCol, WeekdayCol, StartCol, EndCol)</f>
        <v>3-5,10,8-9</v>
      </c>
      <c r="C24" s="11" t="str">
        <f>GetPeriods(C$16, $A24, WeekCol, WeekdayCol, StartCol, EndCol)</f>
        <v>3-5,8-10,1-2</v>
      </c>
      <c r="D24" s="11" t="str">
        <f>GetPeriods(D$16, $A24, WeekCol, WeekdayCol, StartCol, EndCol)</f>
        <v>3-5,8-10</v>
      </c>
      <c r="E24" s="11" t="str">
        <f>GetPeriods(E$16, $A24, WeekCol, WeekdayCol, StartCol, EndCol)</f>
        <v>8-10,3-5</v>
      </c>
      <c r="F24" s="11" t="str">
        <f>GetPeriods(F$16, $A24, WeekCol, WeekdayCol, StartCol, EndCol)</f>
        <v>8-10</v>
      </c>
      <c r="G24" s="11" t="str">
        <f>GetPeriods(G$16, $A24, WeekCol, WeekdayCol, StartCol, EndCol)</f>
        <v/>
      </c>
      <c r="H24" s="11" t="str">
        <f>GetPeriods(H$16, $A24, WeekCol, WeekdayCol, StartCol, EndCol)</f>
        <v/>
      </c>
      <c r="I24" s="30">
        <v>8</v>
      </c>
      <c r="J24" s="32">
        <f>IF(中间辅助表!B24="",0,LEN(中间辅助表!B24)-LEN(SUBSTITUTE(中间辅助表!B24,",",""))+1)</f>
        <v>6</v>
      </c>
      <c r="K24" s="32">
        <f>IF(中间辅助表!C24="",0,LEN(中间辅助表!C24)-LEN(SUBSTITUTE(中间辅助表!C24,",",""))+1)</f>
        <v>8</v>
      </c>
      <c r="L24" s="32">
        <f>IF(中间辅助表!D24="",0,LEN(中间辅助表!D24)-LEN(SUBSTITUTE(中间辅助表!D24,",",""))+1)</f>
        <v>6</v>
      </c>
      <c r="M24" s="32">
        <f>IF(中间辅助表!E24="",0,LEN(中间辅助表!E24)-LEN(SUBSTITUTE(中间辅助表!E24,",",""))+1)</f>
        <v>6</v>
      </c>
      <c r="N24" s="32">
        <f>IF(中间辅助表!F24="",0,LEN(中间辅助表!F24)-LEN(SUBSTITUTE(中间辅助表!F24,",",""))+1)</f>
        <v>3</v>
      </c>
      <c r="O24" s="32">
        <f>IF(中间辅助表!G24="",0,LEN(中间辅助表!G24)-LEN(SUBSTITUTE(中间辅助表!G24,",",""))+1)</f>
        <v>0</v>
      </c>
      <c r="P24" s="32">
        <f>IF(中间辅助表!H24="",0,LEN(中间辅助表!H24)-LEN(SUBSTITUTE(中间辅助表!H24,",",""))+1)</f>
        <v>0</v>
      </c>
      <c r="R24" s="22">
        <v>8</v>
      </c>
      <c r="S24" s="4">
        <f>SUMPRODUCT(1* ISNUMBER(SEARCH(","&amp;$R24&amp;",", ","&amp;中间辅助表!$B$2:$F$14&amp;",")))</f>
        <v>29</v>
      </c>
    </row>
    <row r="25" spans="1:19" x14ac:dyDescent="0.25">
      <c r="A25" s="14">
        <v>9</v>
      </c>
      <c r="B25" s="11" t="str">
        <f>GetPeriods(B$16, $A25, WeekCol, WeekdayCol, StartCol, EndCol)</f>
        <v>3-5,10,8-9</v>
      </c>
      <c r="C25" s="11" t="str">
        <f>GetPeriods(C$16, $A25, WeekCol, WeekdayCol, StartCol, EndCol)</f>
        <v>6-13,3-5,1-2</v>
      </c>
      <c r="D25" s="11" t="str">
        <f>GetPeriods(D$16, $A25, WeekCol, WeekdayCol, StartCol, EndCol)</f>
        <v>3-5,8-10</v>
      </c>
      <c r="E25" s="11" t="str">
        <f>GetPeriods(E$16, $A25, WeekCol, WeekdayCol, StartCol, EndCol)</f>
        <v>8-10,3-5</v>
      </c>
      <c r="F25" s="11" t="str">
        <f>GetPeriods(F$16, $A25, WeekCol, WeekdayCol, StartCol, EndCol)</f>
        <v>8-10</v>
      </c>
      <c r="G25" s="11" t="str">
        <f>GetPeriods(G$16, $A25, WeekCol, WeekdayCol, StartCol, EndCol)</f>
        <v/>
      </c>
      <c r="H25" s="11" t="str">
        <f>GetPeriods(H$16, $A25, WeekCol, WeekdayCol, StartCol, EndCol)</f>
        <v/>
      </c>
      <c r="I25" s="30">
        <v>9</v>
      </c>
      <c r="J25" s="32">
        <f>IF(中间辅助表!B25="",0,LEN(中间辅助表!B25)-LEN(SUBSTITUTE(中间辅助表!B25,",",""))+1)</f>
        <v>6</v>
      </c>
      <c r="K25" s="32">
        <f>IF(中间辅助表!C25="",0,LEN(中间辅助表!C25)-LEN(SUBSTITUTE(中间辅助表!C25,",",""))+1)</f>
        <v>13</v>
      </c>
      <c r="L25" s="32">
        <f>IF(中间辅助表!D25="",0,LEN(中间辅助表!D25)-LEN(SUBSTITUTE(中间辅助表!D25,",",""))+1)</f>
        <v>6</v>
      </c>
      <c r="M25" s="32">
        <f>IF(中间辅助表!E25="",0,LEN(中间辅助表!E25)-LEN(SUBSTITUTE(中间辅助表!E25,",",""))+1)</f>
        <v>6</v>
      </c>
      <c r="N25" s="32">
        <f>IF(中间辅助表!F25="",0,LEN(中间辅助表!F25)-LEN(SUBSTITUTE(中间辅助表!F25,",",""))+1)</f>
        <v>3</v>
      </c>
      <c r="O25" s="32">
        <f>IF(中间辅助表!G25="",0,LEN(中间辅助表!G25)-LEN(SUBSTITUTE(中间辅助表!G25,",",""))+1)</f>
        <v>0</v>
      </c>
      <c r="P25" s="32">
        <f>IF(中间辅助表!H25="",0,LEN(中间辅助表!H25)-LEN(SUBSTITUTE(中间辅助表!H25,",",""))+1)</f>
        <v>0</v>
      </c>
      <c r="R25" s="22">
        <v>9</v>
      </c>
      <c r="S25" s="4">
        <f>SUMPRODUCT(1* ISNUMBER(SEARCH(","&amp;$R25&amp;",", ","&amp;中间辅助表!$B$2:$F$14&amp;",")))</f>
        <v>34</v>
      </c>
    </row>
    <row r="26" spans="1:19" x14ac:dyDescent="0.25">
      <c r="A26" s="14">
        <v>10</v>
      </c>
      <c r="B26" s="11" t="str">
        <f>GetPeriods(B$16, $A26, WeekCol, WeekdayCol, StartCol, EndCol)</f>
        <v>8-9</v>
      </c>
      <c r="C26" s="11" t="str">
        <f>GetPeriods(C$16, $A26, WeekCol, WeekdayCol, StartCol, EndCol)</f>
        <v>6-13,1-2</v>
      </c>
      <c r="D26" s="11" t="str">
        <f>GetPeriods(D$16, $A26, WeekCol, WeekdayCol, StartCol, EndCol)</f>
        <v>3-5,8-10</v>
      </c>
      <c r="E26" s="11" t="str">
        <f>GetPeriods(E$16, $A26, WeekCol, WeekdayCol, StartCol, EndCol)</f>
        <v>8-10,3-5</v>
      </c>
      <c r="F26" s="11" t="str">
        <f>GetPeriods(F$16, $A26, WeekCol, WeekdayCol, StartCol, EndCol)</f>
        <v/>
      </c>
      <c r="G26" s="11" t="str">
        <f>GetPeriods(G$16, $A26, WeekCol, WeekdayCol, StartCol, EndCol)</f>
        <v/>
      </c>
      <c r="H26" s="11" t="str">
        <f>GetPeriods(H$16, $A26, WeekCol, WeekdayCol, StartCol, EndCol)</f>
        <v/>
      </c>
      <c r="I26" s="30">
        <v>10</v>
      </c>
      <c r="J26" s="32">
        <f>IF(中间辅助表!B26="",0,LEN(中间辅助表!B26)-LEN(SUBSTITUTE(中间辅助表!B26,",",""))+1)</f>
        <v>2</v>
      </c>
      <c r="K26" s="32">
        <f>IF(中间辅助表!C26="",0,LEN(中间辅助表!C26)-LEN(SUBSTITUTE(中间辅助表!C26,",",""))+1)</f>
        <v>10</v>
      </c>
      <c r="L26" s="32">
        <f>IF(中间辅助表!D26="",0,LEN(中间辅助表!D26)-LEN(SUBSTITUTE(中间辅助表!D26,",",""))+1)</f>
        <v>6</v>
      </c>
      <c r="M26" s="32">
        <f>IF(中间辅助表!E26="",0,LEN(中间辅助表!E26)-LEN(SUBSTITUTE(中间辅助表!E26,",",""))+1)</f>
        <v>6</v>
      </c>
      <c r="N26" s="32">
        <f>IF(中间辅助表!F26="",0,LEN(中间辅助表!F26)-LEN(SUBSTITUTE(中间辅助表!F26,",",""))+1)</f>
        <v>0</v>
      </c>
      <c r="O26" s="32">
        <f>IF(中间辅助表!G26="",0,LEN(中间辅助表!G26)-LEN(SUBSTITUTE(中间辅助表!G26,",",""))+1)</f>
        <v>0</v>
      </c>
      <c r="P26" s="32">
        <f>IF(中间辅助表!H26="",0,LEN(中间辅助表!H26)-LEN(SUBSTITUTE(中间辅助表!H26,",",""))+1)</f>
        <v>0</v>
      </c>
      <c r="R26" s="22">
        <v>10</v>
      </c>
      <c r="S26" s="4">
        <f>SUMPRODUCT(1* ISNUMBER(SEARCH(","&amp;$R26&amp;",", ","&amp;中间辅助表!$B$2:$F$14&amp;",")))</f>
        <v>24</v>
      </c>
    </row>
    <row r="27" spans="1:19" x14ac:dyDescent="0.25">
      <c r="A27" s="14">
        <v>11</v>
      </c>
      <c r="B27" s="11" t="str">
        <f>GetPeriods(B$16, $A27, WeekCol, WeekdayCol, StartCol, EndCol)</f>
        <v/>
      </c>
      <c r="C27" s="11" t="str">
        <f>GetPeriods(C$16, $A27, WeekCol, WeekdayCol, StartCol, EndCol)</f>
        <v>6-13,1-2</v>
      </c>
      <c r="D27" s="11" t="str">
        <f>GetPeriods(D$16, $A27, WeekCol, WeekdayCol, StartCol, EndCol)</f>
        <v>3-5</v>
      </c>
      <c r="E27" s="11" t="str">
        <f>GetPeriods(E$16, $A27, WeekCol, WeekdayCol, StartCol, EndCol)</f>
        <v>8-10,3-5</v>
      </c>
      <c r="F27" s="11" t="str">
        <f>GetPeriods(F$16, $A27, WeekCol, WeekdayCol, StartCol, EndCol)</f>
        <v/>
      </c>
      <c r="G27" s="11" t="str">
        <f>GetPeriods(G$16, $A27, WeekCol, WeekdayCol, StartCol, EndCol)</f>
        <v/>
      </c>
      <c r="H27" s="11" t="str">
        <f>GetPeriods(H$16, $A27, WeekCol, WeekdayCol, StartCol, EndCol)</f>
        <v/>
      </c>
      <c r="I27" s="30">
        <v>11</v>
      </c>
      <c r="J27" s="32">
        <f>IF(中间辅助表!B27="",0,LEN(中间辅助表!B27)-LEN(SUBSTITUTE(中间辅助表!B27,",",""))+1)</f>
        <v>0</v>
      </c>
      <c r="K27" s="32">
        <f>IF(中间辅助表!C27="",0,LEN(中间辅助表!C27)-LEN(SUBSTITUTE(中间辅助表!C27,",",""))+1)</f>
        <v>10</v>
      </c>
      <c r="L27" s="32">
        <f>IF(中间辅助表!D27="",0,LEN(中间辅助表!D27)-LEN(SUBSTITUTE(中间辅助表!D27,",",""))+1)</f>
        <v>3</v>
      </c>
      <c r="M27" s="32">
        <f>IF(中间辅助表!E27="",0,LEN(中间辅助表!E27)-LEN(SUBSTITUTE(中间辅助表!E27,",",""))+1)</f>
        <v>6</v>
      </c>
      <c r="N27" s="32">
        <f>IF(中间辅助表!F27="",0,LEN(中间辅助表!F27)-LEN(SUBSTITUTE(中间辅助表!F27,",",""))+1)</f>
        <v>0</v>
      </c>
      <c r="O27" s="32">
        <f>IF(中间辅助表!G27="",0,LEN(中间辅助表!G27)-LEN(SUBSTITUTE(中间辅助表!G27,",",""))+1)</f>
        <v>0</v>
      </c>
      <c r="P27" s="32">
        <f>IF(中间辅助表!H27="",0,LEN(中间辅助表!H27)-LEN(SUBSTITUTE(中间辅助表!H27,",",""))+1)</f>
        <v>0</v>
      </c>
      <c r="R27" s="22">
        <v>11</v>
      </c>
      <c r="S27" s="4">
        <f>SUMPRODUCT(1* ISNUMBER(SEARCH(","&amp;$R27&amp;",", ","&amp;中间辅助表!$B$2:$F$14&amp;",")))</f>
        <v>19</v>
      </c>
    </row>
    <row r="28" spans="1:19" x14ac:dyDescent="0.25">
      <c r="A28" s="14">
        <v>12</v>
      </c>
      <c r="B28" s="11" t="str">
        <f>GetPeriods(B$16, $A28, WeekCol, WeekdayCol, StartCol, EndCol)</f>
        <v/>
      </c>
      <c r="C28" s="11" t="str">
        <f>GetPeriods(C$16, $A28, WeekCol, WeekdayCol, StartCol, EndCol)</f>
        <v>6-13,1-2</v>
      </c>
      <c r="D28" s="11" t="str">
        <f>GetPeriods(D$16, $A28, WeekCol, WeekdayCol, StartCol, EndCol)</f>
        <v>3-5</v>
      </c>
      <c r="E28" s="11" t="str">
        <f>GetPeriods(E$16, $A28, WeekCol, WeekdayCol, StartCol, EndCol)</f>
        <v>8-10</v>
      </c>
      <c r="F28" s="11" t="str">
        <f>GetPeriods(F$16, $A28, WeekCol, WeekdayCol, StartCol, EndCol)</f>
        <v/>
      </c>
      <c r="G28" s="11" t="str">
        <f>GetPeriods(G$16, $A28, WeekCol, WeekdayCol, StartCol, EndCol)</f>
        <v/>
      </c>
      <c r="H28" s="11" t="str">
        <f>GetPeriods(H$16, $A28, WeekCol, WeekdayCol, StartCol, EndCol)</f>
        <v/>
      </c>
      <c r="I28" s="30">
        <v>12</v>
      </c>
      <c r="J28" s="32">
        <f>IF(中间辅助表!B28="",0,LEN(中间辅助表!B28)-LEN(SUBSTITUTE(中间辅助表!B28,",",""))+1)</f>
        <v>0</v>
      </c>
      <c r="K28" s="32">
        <f>IF(中间辅助表!C28="",0,LEN(中间辅助表!C28)-LEN(SUBSTITUTE(中间辅助表!C28,",",""))+1)</f>
        <v>10</v>
      </c>
      <c r="L28" s="32">
        <f>IF(中间辅助表!D28="",0,LEN(中间辅助表!D28)-LEN(SUBSTITUTE(中间辅助表!D28,",",""))+1)</f>
        <v>3</v>
      </c>
      <c r="M28" s="32">
        <f>IF(中间辅助表!E28="",0,LEN(中间辅助表!E28)-LEN(SUBSTITUTE(中间辅助表!E28,",",""))+1)</f>
        <v>3</v>
      </c>
      <c r="N28" s="32">
        <f>IF(中间辅助表!F28="",0,LEN(中间辅助表!F28)-LEN(SUBSTITUTE(中间辅助表!F28,",",""))+1)</f>
        <v>0</v>
      </c>
      <c r="O28" s="32">
        <f>IF(中间辅助表!G28="",0,LEN(中间辅助表!G28)-LEN(SUBSTITUTE(中间辅助表!G28,",",""))+1)</f>
        <v>0</v>
      </c>
      <c r="P28" s="32">
        <f>IF(中间辅助表!H28="",0,LEN(中间辅助表!H28)-LEN(SUBSTITUTE(中间辅助表!H28,",",""))+1)</f>
        <v>0</v>
      </c>
      <c r="R28" s="22">
        <v>12</v>
      </c>
      <c r="S28" s="4">
        <f>SUMPRODUCT(1* ISNUMBER(SEARCH(","&amp;$R28&amp;",", ","&amp;中间辅助表!$B$2:$F$14&amp;",")))</f>
        <v>16</v>
      </c>
    </row>
    <row r="29" spans="1:19" x14ac:dyDescent="0.25">
      <c r="A29" s="14">
        <v>13</v>
      </c>
      <c r="B29" s="11" t="str">
        <f>GetPeriods(B$16, $A29, WeekCol, WeekdayCol, StartCol, EndCol)</f>
        <v/>
      </c>
      <c r="C29" s="11" t="str">
        <f>GetPeriods(C$16, $A29, WeekCol, WeekdayCol, StartCol, EndCol)</f>
        <v>1-2</v>
      </c>
      <c r="D29" s="11" t="str">
        <f>GetPeriods(D$16, $A29, WeekCol, WeekdayCol, StartCol, EndCol)</f>
        <v>3-5</v>
      </c>
      <c r="E29" s="11" t="str">
        <f>GetPeriods(E$16, $A29, WeekCol, WeekdayCol, StartCol, EndCol)</f>
        <v/>
      </c>
      <c r="F29" s="11" t="str">
        <f>GetPeriods(F$16, $A29, WeekCol, WeekdayCol, StartCol, EndCol)</f>
        <v/>
      </c>
      <c r="G29" s="11" t="str">
        <f>GetPeriods(G$16, $A29, WeekCol, WeekdayCol, StartCol, EndCol)</f>
        <v/>
      </c>
      <c r="H29" s="11" t="str">
        <f>GetPeriods(H$16, $A29, WeekCol, WeekdayCol, StartCol, EndCol)</f>
        <v/>
      </c>
      <c r="I29" s="30">
        <v>13</v>
      </c>
      <c r="J29" s="32">
        <f>IF(中间辅助表!B29="",0,LEN(中间辅助表!B29)-LEN(SUBSTITUTE(中间辅助表!B29,",",""))+1)</f>
        <v>0</v>
      </c>
      <c r="K29" s="32">
        <f>IF(中间辅助表!C29="",0,LEN(中间辅助表!C29)-LEN(SUBSTITUTE(中间辅助表!C29,",",""))+1)</f>
        <v>2</v>
      </c>
      <c r="L29" s="32">
        <f>IF(中间辅助表!D29="",0,LEN(中间辅助表!D29)-LEN(SUBSTITUTE(中间辅助表!D29,",",""))+1)</f>
        <v>3</v>
      </c>
      <c r="M29" s="32">
        <f>IF(中间辅助表!E29="",0,LEN(中间辅助表!E29)-LEN(SUBSTITUTE(中间辅助表!E29,",",""))+1)</f>
        <v>0</v>
      </c>
      <c r="N29" s="32">
        <f>IF(中间辅助表!F29="",0,LEN(中间辅助表!F29)-LEN(SUBSTITUTE(中间辅助表!F29,",",""))+1)</f>
        <v>0</v>
      </c>
      <c r="O29" s="32">
        <f>IF(中间辅助表!G29="",0,LEN(中间辅助表!G29)-LEN(SUBSTITUTE(中间辅助表!G29,",",""))+1)</f>
        <v>0</v>
      </c>
      <c r="P29" s="32">
        <f>IF(中间辅助表!H29="",0,LEN(中间辅助表!H29)-LEN(SUBSTITUTE(中间辅助表!H29,",",""))+1)</f>
        <v>0</v>
      </c>
      <c r="R29" s="22">
        <v>13</v>
      </c>
      <c r="S29" s="4">
        <f>SUMPRODUCT(1* ISNUMBER(SEARCH(","&amp;$R29&amp;",", ","&amp;中间辅助表!$B$2:$F$14&amp;",")))</f>
        <v>5</v>
      </c>
    </row>
    <row r="30" spans="1:19" x14ac:dyDescent="0.25">
      <c r="A30" s="14">
        <v>14</v>
      </c>
      <c r="B30" s="11" t="str">
        <f>GetPeriods(B$16, $A30, WeekCol, WeekdayCol, StartCol, EndCol)</f>
        <v/>
      </c>
      <c r="C30" s="11" t="str">
        <f>GetPeriods(C$16, $A30, WeekCol, WeekdayCol, StartCol, EndCol)</f>
        <v>1-2</v>
      </c>
      <c r="D30" s="11" t="str">
        <f>GetPeriods(D$16, $A30, WeekCol, WeekdayCol, StartCol, EndCol)</f>
        <v>3-5</v>
      </c>
      <c r="E30" s="11" t="str">
        <f>GetPeriods(E$16, $A30, WeekCol, WeekdayCol, StartCol, EndCol)</f>
        <v/>
      </c>
      <c r="F30" s="11" t="str">
        <f>GetPeriods(F$16, $A30, WeekCol, WeekdayCol, StartCol, EndCol)</f>
        <v/>
      </c>
      <c r="G30" s="11" t="str">
        <f>GetPeriods(G$16, $A30, WeekCol, WeekdayCol, StartCol, EndCol)</f>
        <v/>
      </c>
      <c r="H30" s="11" t="str">
        <f>GetPeriods(H$16, $A30, WeekCol, WeekdayCol, StartCol, EndCol)</f>
        <v/>
      </c>
      <c r="I30" s="30">
        <v>14</v>
      </c>
      <c r="J30" s="32">
        <f>IF(中间辅助表!B30="",0,LEN(中间辅助表!B30)-LEN(SUBSTITUTE(中间辅助表!B30,",",""))+1)</f>
        <v>0</v>
      </c>
      <c r="K30" s="32">
        <f>IF(中间辅助表!C30="",0,LEN(中间辅助表!C30)-LEN(SUBSTITUTE(中间辅助表!C30,",",""))+1)</f>
        <v>2</v>
      </c>
      <c r="L30" s="32">
        <f>IF(中间辅助表!D30="",0,LEN(中间辅助表!D30)-LEN(SUBSTITUTE(中间辅助表!D30,",",""))+1)</f>
        <v>3</v>
      </c>
      <c r="M30" s="32">
        <f>IF(中间辅助表!E30="",0,LEN(中间辅助表!E30)-LEN(SUBSTITUTE(中间辅助表!E30,",",""))+1)</f>
        <v>0</v>
      </c>
      <c r="N30" s="32">
        <f>IF(中间辅助表!F30="",0,LEN(中间辅助表!F30)-LEN(SUBSTITUTE(中间辅助表!F30,",",""))+1)</f>
        <v>0</v>
      </c>
      <c r="O30" s="32">
        <f>IF(中间辅助表!G30="",0,LEN(中间辅助表!G30)-LEN(SUBSTITUTE(中间辅助表!G30,",",""))+1)</f>
        <v>0</v>
      </c>
      <c r="P30" s="32">
        <f>IF(中间辅助表!H30="",0,LEN(中间辅助表!H30)-LEN(SUBSTITUTE(中间辅助表!H30,",",""))+1)</f>
        <v>0</v>
      </c>
      <c r="R30" s="22">
        <v>14</v>
      </c>
      <c r="S30" s="4">
        <f>SUMPRODUCT(1* ISNUMBER(SEARCH(","&amp;$R30&amp;",", ","&amp;中间辅助表!$B$2:$F$14&amp;",")))</f>
        <v>5</v>
      </c>
    </row>
    <row r="31" spans="1:19" x14ac:dyDescent="0.25">
      <c r="A31" s="14">
        <v>15</v>
      </c>
      <c r="B31" s="11" t="str">
        <f>GetPeriods(B$16, $A31, WeekCol, WeekdayCol, StartCol, EndCol)</f>
        <v/>
      </c>
      <c r="C31" s="11" t="str">
        <f>GetPeriods(C$16, $A31, WeekCol, WeekdayCol, StartCol, EndCol)</f>
        <v>1-2</v>
      </c>
      <c r="D31" s="11" t="str">
        <f>GetPeriods(D$16, $A31, WeekCol, WeekdayCol, StartCol, EndCol)</f>
        <v>3-5</v>
      </c>
      <c r="E31" s="11" t="str">
        <f>GetPeriods(E$16, $A31, WeekCol, WeekdayCol, StartCol, EndCol)</f>
        <v/>
      </c>
      <c r="F31" s="11" t="str">
        <f>GetPeriods(F$16, $A31, WeekCol, WeekdayCol, StartCol, EndCol)</f>
        <v/>
      </c>
      <c r="G31" s="11" t="str">
        <f>GetPeriods(G$16, $A31, WeekCol, WeekdayCol, StartCol, EndCol)</f>
        <v/>
      </c>
      <c r="H31" s="11" t="str">
        <f>GetPeriods(H$16, $A31, WeekCol, WeekdayCol, StartCol, EndCol)</f>
        <v/>
      </c>
      <c r="I31" s="30">
        <v>15</v>
      </c>
      <c r="J31" s="32">
        <f>IF(中间辅助表!B31="",0,LEN(中间辅助表!B31)-LEN(SUBSTITUTE(中间辅助表!B31,",",""))+1)</f>
        <v>0</v>
      </c>
      <c r="K31" s="32">
        <f>IF(中间辅助表!C31="",0,LEN(中间辅助表!C31)-LEN(SUBSTITUTE(中间辅助表!C31,",",""))+1)</f>
        <v>2</v>
      </c>
      <c r="L31" s="32">
        <f>IF(中间辅助表!D31="",0,LEN(中间辅助表!D31)-LEN(SUBSTITUTE(中间辅助表!D31,",",""))+1)</f>
        <v>3</v>
      </c>
      <c r="M31" s="32">
        <f>IF(中间辅助表!E31="",0,LEN(中间辅助表!E31)-LEN(SUBSTITUTE(中间辅助表!E31,",",""))+1)</f>
        <v>0</v>
      </c>
      <c r="N31" s="32">
        <f>IF(中间辅助表!F31="",0,LEN(中间辅助表!F31)-LEN(SUBSTITUTE(中间辅助表!F31,",",""))+1)</f>
        <v>0</v>
      </c>
      <c r="O31" s="32">
        <f>IF(中间辅助表!G31="",0,LEN(中间辅助表!G31)-LEN(SUBSTITUTE(中间辅助表!G31,",",""))+1)</f>
        <v>0</v>
      </c>
      <c r="P31" s="32">
        <f>IF(中间辅助表!H31="",0,LEN(中间辅助表!H31)-LEN(SUBSTITUTE(中间辅助表!H31,",",""))+1)</f>
        <v>0</v>
      </c>
      <c r="R31" s="22">
        <v>15</v>
      </c>
      <c r="S31" s="4">
        <f>SUMPRODUCT(1* ISNUMBER(SEARCH(","&amp;$R31&amp;",", ","&amp;中间辅助表!$B$2:$F$14&amp;",")))</f>
        <v>5</v>
      </c>
    </row>
    <row r="32" spans="1:19" x14ac:dyDescent="0.25">
      <c r="A32" s="14">
        <v>16</v>
      </c>
      <c r="B32" s="11" t="str">
        <f>GetPeriods(B$16, $A32, WeekCol, WeekdayCol, StartCol, EndCol)</f>
        <v/>
      </c>
      <c r="C32" s="11" t="str">
        <f>GetPeriods(C$16, $A32, WeekCol, WeekdayCol, StartCol, EndCol)</f>
        <v>1-2</v>
      </c>
      <c r="D32" s="11" t="str">
        <f>GetPeriods(D$16, $A32, WeekCol, WeekdayCol, StartCol, EndCol)</f>
        <v/>
      </c>
      <c r="E32" s="11" t="str">
        <f>GetPeriods(E$16, $A32, WeekCol, WeekdayCol, StartCol, EndCol)</f>
        <v/>
      </c>
      <c r="F32" s="11" t="str">
        <f>GetPeriods(F$16, $A32, WeekCol, WeekdayCol, StartCol, EndCol)</f>
        <v/>
      </c>
      <c r="G32" s="11" t="str">
        <f>GetPeriods(G$16, $A32, WeekCol, WeekdayCol, StartCol, EndCol)</f>
        <v/>
      </c>
      <c r="H32" s="11" t="str">
        <f>GetPeriods(H$16, $A32, WeekCol, WeekdayCol, StartCol, EndCol)</f>
        <v/>
      </c>
      <c r="I32" s="30">
        <v>16</v>
      </c>
      <c r="J32" s="32">
        <f>IF(中间辅助表!B32="",0,LEN(中间辅助表!B32)-LEN(SUBSTITUTE(中间辅助表!B32,",",""))+1)</f>
        <v>0</v>
      </c>
      <c r="K32" s="32">
        <f>IF(中间辅助表!C32="",0,LEN(中间辅助表!C32)-LEN(SUBSTITUTE(中间辅助表!C32,",",""))+1)</f>
        <v>2</v>
      </c>
      <c r="L32" s="32">
        <f>IF(中间辅助表!D32="",0,LEN(中间辅助表!D32)-LEN(SUBSTITUTE(中间辅助表!D32,",",""))+1)</f>
        <v>0</v>
      </c>
      <c r="M32" s="32">
        <f>IF(中间辅助表!E32="",0,LEN(中间辅助表!E32)-LEN(SUBSTITUTE(中间辅助表!E32,",",""))+1)</f>
        <v>0</v>
      </c>
      <c r="N32" s="32">
        <f>IF(中间辅助表!F32="",0,LEN(中间辅助表!F32)-LEN(SUBSTITUTE(中间辅助表!F32,",",""))+1)</f>
        <v>0</v>
      </c>
      <c r="O32" s="32">
        <f>IF(中间辅助表!G32="",0,LEN(中间辅助表!G32)-LEN(SUBSTITUTE(中间辅助表!G32,",",""))+1)</f>
        <v>0</v>
      </c>
      <c r="P32" s="32">
        <f>IF(中间辅助表!H32="",0,LEN(中间辅助表!H32)-LEN(SUBSTITUTE(中间辅助表!H32,",",""))+1)</f>
        <v>0</v>
      </c>
      <c r="R32" s="22">
        <v>16</v>
      </c>
      <c r="S32" s="4">
        <f>SUMPRODUCT(1* ISNUMBER(SEARCH(","&amp;$R32&amp;",", ","&amp;中间辅助表!$B$2:$F$14&amp;",")))</f>
        <v>2</v>
      </c>
    </row>
    <row r="33" spans="1:19" x14ac:dyDescent="0.25">
      <c r="A33" s="14">
        <v>17</v>
      </c>
      <c r="B33" s="11" t="str">
        <f>GetPeriods(B$16, $A33, WeekCol, WeekdayCol, StartCol, EndCol)</f>
        <v/>
      </c>
      <c r="C33" s="11" t="str">
        <f>GetPeriods(C$16, $A33, WeekCol, WeekdayCol, StartCol, EndCol)</f>
        <v>1-2</v>
      </c>
      <c r="D33" s="11" t="str">
        <f>GetPeriods(D$16, $A33, WeekCol, WeekdayCol, StartCol, EndCol)</f>
        <v/>
      </c>
      <c r="E33" s="11" t="str">
        <f>GetPeriods(E$16, $A33, WeekCol, WeekdayCol, StartCol, EndCol)</f>
        <v/>
      </c>
      <c r="F33" s="11" t="str">
        <f>GetPeriods(F$16, $A33, WeekCol, WeekdayCol, StartCol, EndCol)</f>
        <v/>
      </c>
      <c r="G33" s="11" t="str">
        <f>GetPeriods(G$16, $A33, WeekCol, WeekdayCol, StartCol, EndCol)</f>
        <v/>
      </c>
      <c r="H33" s="11" t="str">
        <f>GetPeriods(H$16, $A33, WeekCol, WeekdayCol, StartCol, EndCol)</f>
        <v/>
      </c>
      <c r="I33" s="30">
        <v>17</v>
      </c>
      <c r="J33" s="32">
        <f>IF(中间辅助表!B33="",0,LEN(中间辅助表!B33)-LEN(SUBSTITUTE(中间辅助表!B33,",",""))+1)</f>
        <v>0</v>
      </c>
      <c r="K33" s="32">
        <f>IF(中间辅助表!C33="",0,LEN(中间辅助表!C33)-LEN(SUBSTITUTE(中间辅助表!C33,",",""))+1)</f>
        <v>2</v>
      </c>
      <c r="L33" s="32">
        <f>IF(中间辅助表!D33="",0,LEN(中间辅助表!D33)-LEN(SUBSTITUTE(中间辅助表!D33,",",""))+1)</f>
        <v>0</v>
      </c>
      <c r="M33" s="32">
        <f>IF(中间辅助表!E33="",0,LEN(中间辅助表!E33)-LEN(SUBSTITUTE(中间辅助表!E33,",",""))+1)</f>
        <v>0</v>
      </c>
      <c r="N33" s="32">
        <f>IF(中间辅助表!F33="",0,LEN(中间辅助表!F33)-LEN(SUBSTITUTE(中间辅助表!F33,",",""))+1)</f>
        <v>0</v>
      </c>
      <c r="O33" s="32">
        <f>IF(中间辅助表!G33="",0,LEN(中间辅助表!G33)-LEN(SUBSTITUTE(中间辅助表!G33,",",""))+1)</f>
        <v>0</v>
      </c>
      <c r="P33" s="32">
        <f>IF(中间辅助表!H33="",0,LEN(中间辅助表!H33)-LEN(SUBSTITUTE(中间辅助表!H33,",",""))+1)</f>
        <v>0</v>
      </c>
      <c r="R33" s="22">
        <v>17</v>
      </c>
      <c r="S33" s="4">
        <f>SUMPRODUCT(1* ISNUMBER(SEARCH(","&amp;$R33&amp;",", ","&amp;中间辅助表!$B$2:$F$14&amp;",")))</f>
        <v>2</v>
      </c>
    </row>
    <row r="34" spans="1:19" ht="14.4" thickBot="1" x14ac:dyDescent="0.3">
      <c r="A34" s="14">
        <v>18</v>
      </c>
      <c r="B34" s="11" t="str">
        <f>GetPeriods(B$16, $A34, WeekCol, WeekdayCol, StartCol, EndCol)</f>
        <v/>
      </c>
      <c r="C34" s="11" t="str">
        <f>GetPeriods(C$16, $A34, WeekCol, WeekdayCol, StartCol, EndCol)</f>
        <v/>
      </c>
      <c r="D34" s="11" t="str">
        <f>GetPeriods(D$16, $A34, WeekCol, WeekdayCol, StartCol, EndCol)</f>
        <v/>
      </c>
      <c r="E34" s="11" t="str">
        <f>GetPeriods(E$16, $A34, WeekCol, WeekdayCol, StartCol, EndCol)</f>
        <v/>
      </c>
      <c r="F34" s="11" t="str">
        <f>GetPeriods(F$16, $A34, WeekCol, WeekdayCol, StartCol, EndCol)</f>
        <v/>
      </c>
      <c r="G34" s="11" t="str">
        <f>GetPeriods(G$16, $A34, WeekCol, WeekdayCol, StartCol, EndCol)</f>
        <v/>
      </c>
      <c r="H34" s="11" t="str">
        <f>GetPeriods(H$16, $A34, WeekCol, WeekdayCol, StartCol, EndCol)</f>
        <v/>
      </c>
      <c r="I34" s="30">
        <v>18</v>
      </c>
      <c r="J34" s="32">
        <f>IF(中间辅助表!B34="",0,LEN(中间辅助表!B34)-LEN(SUBSTITUTE(中间辅助表!B34,",",""))+1)</f>
        <v>0</v>
      </c>
      <c r="K34" s="32">
        <f>IF(中间辅助表!C34="",0,LEN(中间辅助表!C34)-LEN(SUBSTITUTE(中间辅助表!C34,",",""))+1)</f>
        <v>0</v>
      </c>
      <c r="L34" s="32">
        <f>IF(中间辅助表!D34="",0,LEN(中间辅助表!D34)-LEN(SUBSTITUTE(中间辅助表!D34,",",""))+1)</f>
        <v>0</v>
      </c>
      <c r="M34" s="32">
        <f>IF(中间辅助表!E34="",0,LEN(中间辅助表!E34)-LEN(SUBSTITUTE(中间辅助表!E34,",",""))+1)</f>
        <v>0</v>
      </c>
      <c r="N34" s="32">
        <f>IF(中间辅助表!F34="",0,LEN(中间辅助表!F34)-LEN(SUBSTITUTE(中间辅助表!F34,",",""))+1)</f>
        <v>0</v>
      </c>
      <c r="O34" s="32">
        <f>IF(中间辅助表!G34="",0,LEN(中间辅助表!G34)-LEN(SUBSTITUTE(中间辅助表!G34,",",""))+1)</f>
        <v>0</v>
      </c>
      <c r="P34" s="32">
        <f>IF(中间辅助表!H34="",0,LEN(中间辅助表!H34)-LEN(SUBSTITUTE(中间辅助表!H34,",",""))+1)</f>
        <v>0</v>
      </c>
      <c r="R34" s="23">
        <v>18</v>
      </c>
      <c r="S34" s="5">
        <f>SUMPRODUCT(1* ISNUMBER(SEARCH(","&amp;$R34&amp;",", ","&amp;中间辅助表!$B$2:$F$14&amp;",")))</f>
        <v>0</v>
      </c>
    </row>
  </sheetData>
  <phoneticPr fontId="1" type="noConversion"/>
  <conditionalFormatting sqref="J2:P14">
    <cfRule type="colorScale" priority="5">
      <colorScale>
        <cfvo type="min"/>
        <cfvo type="max"/>
        <color theme="7" tint="0.79998168889431442"/>
        <color rgb="FFC00000"/>
      </colorScale>
    </cfRule>
    <cfRule type="colorScale" priority="7">
      <colorScale>
        <cfvo type="min"/>
        <cfvo type="max"/>
        <color rgb="FFFFEF9C"/>
        <color rgb="FF63BE7B"/>
      </colorScale>
    </cfRule>
  </conditionalFormatting>
  <conditionalFormatting sqref="J2:P14">
    <cfRule type="colorScale" priority="6">
      <colorScale>
        <cfvo type="min"/>
        <cfvo type="max"/>
        <color rgb="FFF8696B"/>
        <color theme="7" tint="0.79998168889431442"/>
      </colorScale>
    </cfRule>
  </conditionalFormatting>
  <conditionalFormatting sqref="S17:S34">
    <cfRule type="dataBar" priority="3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{17E16CC5-2887-4838-9B8D-C282AB2631D3}</x14:id>
        </ext>
      </extLst>
    </cfRule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{AE007D68-6CC4-443C-A5A3-1A7E45037284}</x14:id>
        </ext>
      </extLst>
    </cfRule>
  </conditionalFormatting>
  <conditionalFormatting sqref="J17:P34">
    <cfRule type="colorScale" priority="1">
      <colorScale>
        <cfvo type="min"/>
        <cfvo type="max"/>
        <color theme="7" tint="0.79998168889431442"/>
        <color rgb="FFC0000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E16CC5-2887-4838-9B8D-C282AB2631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E007D68-6CC4-443C-A5A3-1A7E450372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S17:S34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77F0-54D8-4CF8-9DDC-77D129C55D9B}">
  <sheetPr codeName="Sheet4"/>
  <dimension ref="A1:L14"/>
  <sheetViews>
    <sheetView workbookViewId="0">
      <selection activeCell="C8" sqref="C8"/>
    </sheetView>
  </sheetViews>
  <sheetFormatPr defaultRowHeight="13.8" x14ac:dyDescent="0.25"/>
  <cols>
    <col min="1" max="1" width="6.77734375" customWidth="1"/>
    <col min="2" max="6" width="24.77734375" customWidth="1"/>
    <col min="7" max="8" width="2.77734375" customWidth="1"/>
    <col min="9" max="9" width="11.44140625" customWidth="1"/>
    <col min="10" max="10" width="11.77734375" customWidth="1"/>
    <col min="11" max="11" width="10.109375" customWidth="1"/>
    <col min="12" max="12" width="10.109375" bestFit="1" customWidth="1"/>
  </cols>
  <sheetData>
    <row r="1" spans="1:12" ht="14.4" thickBot="1" x14ac:dyDescent="0.3">
      <c r="A1" s="30" t="s">
        <v>54</v>
      </c>
      <c r="B1" s="35" t="s">
        <v>0</v>
      </c>
      <c r="C1" s="35" t="s">
        <v>1</v>
      </c>
      <c r="D1" s="35" t="s">
        <v>2</v>
      </c>
      <c r="E1" s="35" t="s">
        <v>3</v>
      </c>
      <c r="F1" s="35" t="s">
        <v>4</v>
      </c>
      <c r="G1" s="35" t="s">
        <v>55</v>
      </c>
      <c r="H1" s="35" t="s">
        <v>56</v>
      </c>
      <c r="I1" s="38" t="s">
        <v>6</v>
      </c>
      <c r="J1" s="40">
        <v>5</v>
      </c>
      <c r="K1" s="41" t="s">
        <v>57</v>
      </c>
      <c r="L1" s="42">
        <v>45915</v>
      </c>
    </row>
    <row r="2" spans="1:12" ht="30" customHeight="1" thickBot="1" x14ac:dyDescent="0.3">
      <c r="A2" s="30">
        <v>1</v>
      </c>
      <c r="B2" s="32"/>
      <c r="C2" s="51" t="s">
        <v>89</v>
      </c>
      <c r="D2" s="32"/>
      <c r="E2" s="32"/>
      <c r="F2" s="32"/>
      <c r="G2" s="31"/>
      <c r="H2" s="31"/>
      <c r="I2" s="43">
        <f xml:space="preserve"> L1 + 7 * (J1 - 1)</f>
        <v>45943</v>
      </c>
      <c r="J2" s="42">
        <f xml:space="preserve"> L1 + 7 * (J1 - 1)+6</f>
        <v>45949</v>
      </c>
    </row>
    <row r="3" spans="1:12" ht="30" customHeight="1" x14ac:dyDescent="0.25">
      <c r="A3" s="30">
        <v>2</v>
      </c>
      <c r="B3" s="32"/>
      <c r="C3" s="51"/>
      <c r="D3" s="32"/>
      <c r="E3" s="32"/>
      <c r="F3" s="32"/>
      <c r="G3" s="31"/>
      <c r="H3" s="31"/>
    </row>
    <row r="4" spans="1:12" ht="30" customHeight="1" x14ac:dyDescent="0.25">
      <c r="A4" s="30">
        <v>3</v>
      </c>
      <c r="B4" s="36"/>
      <c r="C4" s="50" t="s">
        <v>92</v>
      </c>
      <c r="D4" s="52" t="s">
        <v>90</v>
      </c>
      <c r="E4" s="49" t="s">
        <v>88</v>
      </c>
      <c r="F4" s="32"/>
      <c r="G4" s="31"/>
      <c r="H4" s="31"/>
    </row>
    <row r="5" spans="1:12" ht="30" customHeight="1" x14ac:dyDescent="0.25">
      <c r="A5" s="30">
        <v>4</v>
      </c>
      <c r="B5" s="36"/>
      <c r="C5" s="50"/>
      <c r="D5" s="52"/>
      <c r="E5" s="49"/>
      <c r="F5" s="32"/>
      <c r="G5" s="31"/>
      <c r="H5" s="31"/>
    </row>
    <row r="6" spans="1:12" ht="30" customHeight="1" x14ac:dyDescent="0.25">
      <c r="A6" s="30">
        <v>5</v>
      </c>
      <c r="B6" s="36"/>
      <c r="C6" s="50"/>
      <c r="D6" s="52"/>
      <c r="E6" s="49"/>
      <c r="F6" s="32"/>
      <c r="G6" s="31"/>
      <c r="H6" s="31"/>
    </row>
    <row r="7" spans="1:12" ht="30" customHeight="1" x14ac:dyDescent="0.25">
      <c r="A7" s="30">
        <v>6</v>
      </c>
      <c r="B7" s="32"/>
      <c r="C7" s="36"/>
      <c r="D7" s="32"/>
      <c r="E7" s="32"/>
      <c r="F7" s="32"/>
      <c r="G7" s="31"/>
      <c r="H7" s="31"/>
    </row>
    <row r="8" spans="1:12" ht="30" customHeight="1" x14ac:dyDescent="0.25">
      <c r="A8" s="30">
        <v>7</v>
      </c>
      <c r="B8" s="32"/>
      <c r="C8" s="36"/>
      <c r="D8" s="32"/>
      <c r="E8" s="32"/>
      <c r="F8" s="32"/>
      <c r="G8" s="31"/>
      <c r="H8" s="31"/>
    </row>
    <row r="9" spans="1:12" ht="30" customHeight="1" x14ac:dyDescent="0.25">
      <c r="A9" s="30">
        <v>8</v>
      </c>
      <c r="B9" s="50" t="s">
        <v>93</v>
      </c>
      <c r="C9" s="53" t="s">
        <v>85</v>
      </c>
      <c r="D9" s="48" t="s">
        <v>86</v>
      </c>
      <c r="E9" s="36"/>
      <c r="F9" s="48" t="s">
        <v>87</v>
      </c>
      <c r="G9" s="31"/>
      <c r="H9" s="31"/>
    </row>
    <row r="10" spans="1:12" ht="30" customHeight="1" x14ac:dyDescent="0.25">
      <c r="A10" s="30">
        <v>9</v>
      </c>
      <c r="B10" s="50"/>
      <c r="C10" s="53"/>
      <c r="D10" s="48"/>
      <c r="E10" s="36"/>
      <c r="F10" s="48"/>
      <c r="G10" s="31"/>
      <c r="H10" s="31"/>
    </row>
    <row r="11" spans="1:12" ht="30" customHeight="1" x14ac:dyDescent="0.25">
      <c r="A11" s="30">
        <v>10</v>
      </c>
      <c r="B11" s="37" t="s">
        <v>91</v>
      </c>
      <c r="C11" s="53"/>
      <c r="D11" s="48"/>
      <c r="E11" s="36"/>
      <c r="F11" s="48"/>
      <c r="G11" s="31"/>
      <c r="H11" s="31"/>
    </row>
    <row r="12" spans="1:12" ht="30" customHeight="1" x14ac:dyDescent="0.25">
      <c r="A12" s="30">
        <v>11</v>
      </c>
      <c r="B12" s="32"/>
      <c r="C12" s="36"/>
      <c r="D12" s="32"/>
      <c r="E12" s="32"/>
      <c r="F12" s="32"/>
      <c r="G12" s="31"/>
      <c r="H12" s="31"/>
    </row>
    <row r="13" spans="1:12" ht="30" customHeight="1" x14ac:dyDescent="0.25">
      <c r="A13" s="30">
        <v>12</v>
      </c>
      <c r="B13" s="32"/>
      <c r="C13" s="36"/>
      <c r="D13" s="32"/>
      <c r="E13" s="32"/>
      <c r="F13" s="32"/>
      <c r="G13" s="31"/>
      <c r="H13" s="31"/>
    </row>
    <row r="14" spans="1:12" ht="30" customHeight="1" x14ac:dyDescent="0.25">
      <c r="A14" s="30">
        <v>13</v>
      </c>
      <c r="B14" s="32"/>
      <c r="C14" s="36"/>
      <c r="D14" s="32"/>
      <c r="E14" s="32"/>
      <c r="F14" s="32"/>
      <c r="G14" s="31"/>
      <c r="H14" s="31"/>
    </row>
  </sheetData>
  <mergeCells count="8">
    <mergeCell ref="F9:F11"/>
    <mergeCell ref="E4:E6"/>
    <mergeCell ref="C4:C6"/>
    <mergeCell ref="B9:B10"/>
    <mergeCell ref="C2:C3"/>
    <mergeCell ref="D4:D6"/>
    <mergeCell ref="C9:C11"/>
    <mergeCell ref="D9:D11"/>
  </mergeCells>
  <phoneticPr fontId="1" type="noConversion"/>
  <dataValidations count="2">
    <dataValidation type="whole" allowBlank="1" showInputMessage="1" showErrorMessage="1" errorTitle="数字范围错误" error="允许整数范围[-3,25]" sqref="J1" xr:uid="{7644349E-BD04-49E5-80F9-54985A389F4A}">
      <formula1>-3</formula1>
      <formula2>25</formula2>
    </dataValidation>
    <dataValidation type="custom" allowBlank="1" showInputMessage="1" showErrorMessage="1" errorTitle="星期错误" error="需要输入星期一的日期" promptTitle="第1周周一" prompt="输入第1教学周周一对应日期" sqref="L1" xr:uid="{B2A35A86-7DF4-48C0-835C-50F14F5B0BCD}">
      <formula1>"(WEEKDAY(A1, 2)==1)"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查询周课表_Click" altText="查询周课表">
                <anchor moveWithCells="1" sizeWithCells="1">
                  <from>
                    <xdr:col>8</xdr:col>
                    <xdr:colOff>121920</xdr:colOff>
                    <xdr:row>2</xdr:row>
                    <xdr:rowOff>53340</xdr:rowOff>
                  </from>
                  <to>
                    <xdr:col>9</xdr:col>
                    <xdr:colOff>487680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E215B-A74B-47D7-9706-6C36914A3C3F}">
  <sheetPr codeName="Sheet5"/>
  <dimension ref="A1:A4"/>
  <sheetViews>
    <sheetView workbookViewId="0">
      <selection activeCell="G23" sqref="G23"/>
    </sheetView>
  </sheetViews>
  <sheetFormatPr defaultRowHeight="13.8" x14ac:dyDescent="0.25"/>
  <sheetData>
    <row r="1" spans="1:1" x14ac:dyDescent="0.25">
      <c r="A1" s="39" t="s">
        <v>58</v>
      </c>
    </row>
    <row r="2" spans="1:1" x14ac:dyDescent="0.25">
      <c r="A2" t="s">
        <v>50</v>
      </c>
    </row>
    <row r="3" spans="1:1" x14ac:dyDescent="0.25">
      <c r="A3" t="s">
        <v>53</v>
      </c>
    </row>
    <row r="4" spans="1:1" x14ac:dyDescent="0.25">
      <c r="A4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中间辅助表</vt:lpstr>
      <vt:lpstr>课程列表</vt:lpstr>
      <vt:lpstr>统计结果</vt:lpstr>
      <vt:lpstr>周课表查询</vt:lpstr>
      <vt:lpstr>备注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yy</dc:creator>
  <cp:lastModifiedBy>y yy</cp:lastModifiedBy>
  <dcterms:created xsi:type="dcterms:W3CDTF">2015-06-05T18:19:34Z</dcterms:created>
  <dcterms:modified xsi:type="dcterms:W3CDTF">2025-09-14T03:22:24Z</dcterms:modified>
</cp:coreProperties>
</file>